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tiger\Desktop\"/>
    </mc:Choice>
  </mc:AlternateContent>
  <bookViews>
    <workbookView xWindow="-120" yWindow="-120" windowWidth="29040" windowHeight="15720"/>
  </bookViews>
  <sheets>
    <sheet name="Sheet1" sheetId="1" r:id="rId1"/>
    <sheet name="Management work at height" sheetId="2" r:id="rId2"/>
  </sheets>
  <definedNames>
    <definedName name="_xlnm.Print_Area" localSheetId="0">Sheet1!$A$1:$O$35</definedName>
  </definedNames>
  <calcPr/>
</workbook>
</file>

<file path=xl/calcChain.xml><?xml version="1.0" encoding="utf-8"?>
<calcChain xmlns="http://schemas.openxmlformats.org/spreadsheetml/2006/main">
  <c i="2" l="1" r="F1"/>
  <c r="F9"/>
  <c r="G9"/>
  <c i="1" r="J24"/>
  <c r="AI1"/>
  <c r="AI6"/>
  <c r="AJ6"/>
  <c r="AB1"/>
  <c r="AB9"/>
  <c r="AC9"/>
  <c r="W1"/>
  <c r="W10"/>
  <c r="X10"/>
  <c r="Q1"/>
  <c r="P41"/>
  <c r="Q41"/>
  <c r="M1"/>
  <c r="L54"/>
  <c r="M54"/>
  <c r="I1"/>
  <c r="I42"/>
  <c r="J42"/>
  <c l="1" r="P58"/>
  <c r="Q58"/>
  <c r="L59"/>
  <c r="M59"/>
  <c i="2" r="F10"/>
  <c r="G10"/>
  <c i="1" r="P43"/>
  <c r="Q43"/>
  <c r="P44"/>
  <c r="Q44"/>
  <c r="L45"/>
  <c r="M45"/>
  <c r="L46"/>
  <c r="M46"/>
  <c r="P46"/>
  <c r="Q46"/>
  <c r="I47"/>
  <c r="J47"/>
  <c r="L47"/>
  <c r="M47"/>
  <c r="P47"/>
  <c r="Q47"/>
  <c r="P48"/>
  <c r="Q48"/>
  <c r="L57"/>
  <c r="M57"/>
  <c r="L53"/>
  <c r="M53"/>
  <c i="2" r="F6"/>
  <c r="G6"/>
  <c i="1" r="I59"/>
  <c r="J59"/>
  <c r="L49"/>
  <c r="M49"/>
  <c r="P49"/>
  <c r="Q49"/>
  <c r="I50"/>
  <c r="J50"/>
  <c r="L50"/>
  <c r="M50"/>
  <c r="P50"/>
  <c r="Q50"/>
  <c r="I51"/>
  <c r="J51"/>
  <c r="P51"/>
  <c r="Q51"/>
  <c r="I52"/>
  <c r="J52"/>
  <c r="P52"/>
  <c r="Q52"/>
  <c r="P59"/>
  <c r="Q59"/>
  <c r="I6"/>
  <c r="J6"/>
  <c r="L6"/>
  <c r="M6"/>
  <c r="P6"/>
  <c r="Q6"/>
  <c r="W6"/>
  <c r="X6"/>
  <c r="AB6"/>
  <c r="AC6"/>
  <c r="I7"/>
  <c r="J7"/>
  <c r="L7"/>
  <c r="M7"/>
  <c r="P7"/>
  <c r="Q7"/>
  <c r="W7"/>
  <c r="X7"/>
  <c r="AB7"/>
  <c r="AC7"/>
  <c r="I8"/>
  <c r="J8"/>
  <c r="L8"/>
  <c r="M8"/>
  <c r="P8"/>
  <c r="Q8"/>
  <c r="W8"/>
  <c r="X8"/>
  <c r="AB8"/>
  <c r="AC8"/>
  <c r="I9"/>
  <c r="J9"/>
  <c r="L9"/>
  <c r="M9"/>
  <c r="P9"/>
  <c r="Q9"/>
  <c r="W9"/>
  <c r="X9"/>
  <c r="I10"/>
  <c r="J10"/>
  <c r="L10"/>
  <c r="M10"/>
  <c r="P10"/>
  <c r="Q10"/>
  <c r="I11"/>
  <c r="J11"/>
  <c r="L11"/>
  <c r="M11"/>
  <c r="P11"/>
  <c r="Q11"/>
  <c r="I12"/>
  <c r="J12"/>
  <c r="L12"/>
  <c r="M12"/>
  <c r="P12"/>
  <c r="Q12"/>
  <c r="I13"/>
  <c r="J13"/>
  <c r="L13"/>
  <c r="M13"/>
  <c r="P13"/>
  <c r="Q13"/>
  <c r="I14"/>
  <c r="J14"/>
  <c r="L14"/>
  <c r="M14"/>
  <c r="P14"/>
  <c r="Q14"/>
  <c r="I15"/>
  <c r="J15"/>
  <c r="L15"/>
  <c r="M15"/>
  <c r="P15"/>
  <c r="Q15"/>
  <c r="I16"/>
  <c r="J16"/>
  <c r="L16"/>
  <c r="M16"/>
  <c r="P16"/>
  <c r="Q16"/>
  <c r="I17"/>
  <c r="J17"/>
  <c r="L17"/>
  <c r="M17"/>
  <c r="P17"/>
  <c r="Q17"/>
  <c r="I18"/>
  <c r="J18"/>
  <c r="L18"/>
  <c r="M18"/>
  <c r="P18"/>
  <c r="Q18"/>
  <c r="I19"/>
  <c r="J19"/>
  <c r="L19"/>
  <c r="M19"/>
  <c r="P19"/>
  <c r="Q19"/>
  <c r="I20"/>
  <c r="J20"/>
  <c r="L20"/>
  <c r="M20"/>
  <c r="P20"/>
  <c r="Q20"/>
  <c r="I21"/>
  <c r="J21"/>
  <c r="L21"/>
  <c r="M21"/>
  <c r="P21"/>
  <c r="Q21"/>
  <c r="I22"/>
  <c r="J22"/>
  <c r="L22"/>
  <c r="M22"/>
  <c r="P22"/>
  <c r="Q22"/>
  <c r="I23"/>
  <c r="J23"/>
  <c r="L23"/>
  <c r="M23"/>
  <c r="P23"/>
  <c r="Q23"/>
  <c r="P54"/>
  <c r="Q54"/>
  <c r="I55"/>
  <c r="J55"/>
  <c r="I56"/>
  <c r="J56"/>
  <c r="I48"/>
  <c r="J48"/>
  <c r="I49"/>
  <c r="J49"/>
  <c r="L58"/>
  <c r="M58"/>
  <c i="2" r="F8"/>
  <c r="G8"/>
  <c i="1" r="L24"/>
  <c r="M24"/>
  <c r="P24"/>
  <c r="Q24"/>
  <c r="I25"/>
  <c r="J25"/>
  <c r="L25"/>
  <c r="M25"/>
  <c r="P25"/>
  <c r="Q25"/>
  <c r="I26"/>
  <c r="J26"/>
  <c r="L26"/>
  <c r="M26"/>
  <c r="P26"/>
  <c r="Q26"/>
  <c r="I27"/>
  <c r="J27"/>
  <c r="L27"/>
  <c r="M27"/>
  <c r="P27"/>
  <c r="Q27"/>
  <c r="I28"/>
  <c r="J28"/>
  <c r="L28"/>
  <c r="M28"/>
  <c r="P28"/>
  <c r="Q28"/>
  <c r="I29"/>
  <c r="J29"/>
  <c r="L29"/>
  <c r="M29"/>
  <c r="P29"/>
  <c r="Q29"/>
  <c r="I30"/>
  <c r="J30"/>
  <c r="L30"/>
  <c r="M30"/>
  <c r="P30"/>
  <c r="Q30"/>
  <c r="I31"/>
  <c r="J31"/>
  <c r="L31"/>
  <c r="M31"/>
  <c r="P31"/>
  <c r="Q31"/>
  <c r="I32"/>
  <c r="J32"/>
  <c r="L32"/>
  <c r="M32"/>
  <c r="P32"/>
  <c r="Q32"/>
  <c r="I33"/>
  <c r="J33"/>
  <c r="L33"/>
  <c r="M33"/>
  <c r="P33"/>
  <c r="Q33"/>
  <c r="I34"/>
  <c r="J34"/>
  <c r="L34"/>
  <c r="M34"/>
  <c r="P34"/>
  <c r="Q34"/>
  <c r="I35"/>
  <c r="J35"/>
  <c r="L35"/>
  <c r="M35"/>
  <c r="P35"/>
  <c r="Q35"/>
  <c r="I36"/>
  <c r="J36"/>
  <c r="L36"/>
  <c r="M36"/>
  <c r="P36"/>
  <c r="Q36"/>
  <c r="I37"/>
  <c r="J37"/>
  <c r="L37"/>
  <c r="M37"/>
  <c r="P37"/>
  <c r="Q37"/>
  <c r="I38"/>
  <c r="J38"/>
  <c r="L38"/>
  <c r="M38"/>
  <c r="P38"/>
  <c r="Q38"/>
  <c r="I39"/>
  <c r="J39"/>
  <c r="L39"/>
  <c r="M39"/>
  <c r="P39"/>
  <c r="Q39"/>
  <c r="L40"/>
  <c r="M40"/>
  <c r="L41"/>
  <c r="M41"/>
  <c r="L42"/>
  <c r="M42"/>
  <c r="P42"/>
  <c r="Q42"/>
  <c r="I43"/>
  <c r="J43"/>
  <c r="L43"/>
  <c r="M43"/>
  <c r="I44"/>
  <c r="J44"/>
  <c r="I45"/>
  <c r="J45"/>
  <c r="L52"/>
  <c r="M52"/>
  <c r="P57"/>
  <c r="Q57"/>
  <c r="I58"/>
  <c r="J58"/>
  <c i="2" r="F7"/>
  <c r="G7"/>
  <c i="1" r="P56"/>
  <c r="Q56"/>
  <c r="L44"/>
  <c r="M44"/>
  <c r="P45"/>
  <c r="Q45"/>
  <c r="I46"/>
  <c r="J46"/>
  <c r="L48"/>
  <c r="M48"/>
  <c r="L56"/>
  <c r="M56"/>
  <c r="L51"/>
  <c r="M51"/>
  <c r="I53"/>
  <c r="J53"/>
  <c r="P53"/>
  <c r="Q53"/>
  <c r="I54"/>
  <c r="J54"/>
  <c r="I57"/>
  <c r="J57"/>
  <c r="I40"/>
  <c r="J40"/>
  <c r="P40"/>
  <c r="Q40"/>
  <c r="I41"/>
  <c r="J41"/>
</calcChain>
</file>

<file path=xl/sharedStrings.xml><?xml version="1.0" encoding="utf-8"?>
<sst xmlns="http://schemas.openxmlformats.org/spreadsheetml/2006/main">
  <si>
    <t>TAI HWEE HARDWARE PTE LTD</t>
  </si>
  <si>
    <t>Today :</t>
  </si>
  <si>
    <t>EMPLOYEES INFROMATION DETAILS</t>
  </si>
  <si>
    <t>Expired :</t>
  </si>
  <si>
    <t>Perform Work in Confined space</t>
  </si>
  <si>
    <t>S-Pass Expired date</t>
  </si>
  <si>
    <t>Operation Boom Lift</t>
  </si>
  <si>
    <t>Warning :</t>
  </si>
  <si>
    <t>S/N</t>
  </si>
  <si>
    <t>WP No</t>
  </si>
  <si>
    <t>FIN NO</t>
  </si>
  <si>
    <t>Nationality</t>
  </si>
  <si>
    <t>Company</t>
  </si>
  <si>
    <t>Name</t>
  </si>
  <si>
    <t>Date of Birth</t>
  </si>
  <si>
    <t>WP Expiry Date</t>
  </si>
  <si>
    <t>Balance day</t>
  </si>
  <si>
    <t>Status</t>
  </si>
  <si>
    <t>CSOC EXPIRED DATE</t>
  </si>
  <si>
    <t>Balance day2</t>
  </si>
  <si>
    <t>Status3</t>
  </si>
  <si>
    <t>CORETRADE NO.</t>
  </si>
  <si>
    <t>CORETRADE EXPIRED DATE</t>
  </si>
  <si>
    <t>Balance day4</t>
  </si>
  <si>
    <t>Status5</t>
  </si>
  <si>
    <t>SN.</t>
  </si>
  <si>
    <t>Fin No.</t>
  </si>
  <si>
    <t xml:space="preserve">Perform work in confined space  Expiry Date</t>
  </si>
  <si>
    <t>S-pass Expiry Date</t>
  </si>
  <si>
    <t>SN</t>
  </si>
  <si>
    <t>Operation Boom Lift expired date</t>
  </si>
  <si>
    <t>0 63271853</t>
  </si>
  <si>
    <t>G6655635U</t>
  </si>
  <si>
    <t>BANGLADESHI</t>
  </si>
  <si>
    <t>TH Plumbing</t>
  </si>
  <si>
    <t>BASIR</t>
  </si>
  <si>
    <t>14/05/2027</t>
  </si>
  <si>
    <t>CTW-PPW-469-0117-E</t>
  </si>
  <si>
    <t>HOSSAIN MD SHIHAB</t>
  </si>
  <si>
    <t>G8840607P</t>
  </si>
  <si>
    <t>LALHRIATPUIA</t>
  </si>
  <si>
    <t>ISLAM MOHAMMAD SAHIDUL</t>
  </si>
  <si>
    <t>G2291089U</t>
  </si>
  <si>
    <t>0 9528857-</t>
  </si>
  <si>
    <t>M3115247R</t>
  </si>
  <si>
    <t/>
  </si>
  <si>
    <t>TAI HWEE PLUMBING PTE. LTD.</t>
  </si>
  <si>
    <t>LAL SIAM KIMA</t>
  </si>
  <si>
    <t>9999</t>
  </si>
  <si>
    <t>-</t>
  </si>
  <si>
    <t>DANIEL</t>
  </si>
  <si>
    <t>0 95288642</t>
  </si>
  <si>
    <t>M3115248P</t>
  </si>
  <si>
    <t>MYANMAR</t>
  </si>
  <si>
    <t>MIN KHANT OO</t>
  </si>
  <si>
    <t>AUNG MYINT HTUN</t>
  </si>
  <si>
    <t>0 34633754</t>
  </si>
  <si>
    <t>G6514256U</t>
  </si>
  <si>
    <t>INDIAN</t>
  </si>
  <si>
    <t>VAITHIYANATHAN KARTHIKEYAN</t>
  </si>
  <si>
    <t>CTW-PPW-594-0615-D</t>
  </si>
  <si>
    <t>KARUPPAIAH KAVASHKAR</t>
  </si>
  <si>
    <t>M3316746J</t>
  </si>
  <si>
    <t>WIN KYI MIN</t>
  </si>
  <si>
    <t>4 09112846</t>
  </si>
  <si>
    <t>M3658078R</t>
  </si>
  <si>
    <t>MALAYSIAN</t>
  </si>
  <si>
    <t>KELVIN LEE XIAN FANG</t>
  </si>
  <si>
    <t>SHEIK MOHAMMAD BACHCHU</t>
  </si>
  <si>
    <t>G2522855W</t>
  </si>
  <si>
    <t>LOW JIUNN HONG</t>
  </si>
  <si>
    <t>0 94711142</t>
  </si>
  <si>
    <t>G8879877K</t>
  </si>
  <si>
    <t>NYI NYI AUNG</t>
  </si>
  <si>
    <t>0 35684395</t>
  </si>
  <si>
    <t>G2231190K</t>
  </si>
  <si>
    <t>TH Hardware / HD</t>
  </si>
  <si>
    <t>ALAGUDURAI DURAIMURUGAN</t>
  </si>
  <si>
    <t>0 95423841</t>
  </si>
  <si>
    <t>M3189791W</t>
  </si>
  <si>
    <t>AUNG THURA</t>
  </si>
  <si>
    <t>0 64959484</t>
  </si>
  <si>
    <t>G8827255U</t>
  </si>
  <si>
    <t>ISLAM FAQROL</t>
  </si>
  <si>
    <t>0 64094726</t>
  </si>
  <si>
    <t>G2293255T</t>
  </si>
  <si>
    <t>RAHAMAN MOTIUR</t>
  </si>
  <si>
    <t>0 95634087</t>
  </si>
  <si>
    <t>M3381713K</t>
  </si>
  <si>
    <t>WIN NAING OO</t>
  </si>
  <si>
    <t>0 95632408</t>
  </si>
  <si>
    <t>M3381784X</t>
  </si>
  <si>
    <t>ARKAR WIN</t>
  </si>
  <si>
    <t>0 35083219</t>
  </si>
  <si>
    <t>G6743650X</t>
  </si>
  <si>
    <t>TH Hardware</t>
  </si>
  <si>
    <t>RAMU THIRUMURTHY</t>
  </si>
  <si>
    <t>CTW-PPW-456-0815-D</t>
  </si>
  <si>
    <t>0 64853201</t>
  </si>
  <si>
    <t>G8722699P</t>
  </si>
  <si>
    <t>HASAN MAHABUB</t>
  </si>
  <si>
    <t>CTW-PPW-495-0524-D</t>
  </si>
  <si>
    <t>0 64185888</t>
  </si>
  <si>
    <t>G2382457X</t>
  </si>
  <si>
    <t>SHEN SUBRATO KUMER</t>
  </si>
  <si>
    <t>CTW-PPW-695-1118-D</t>
  </si>
  <si>
    <t>0 35726772</t>
  </si>
  <si>
    <t>G2134231P</t>
  </si>
  <si>
    <t>GOVINDHAPPA RAJESH KANNAN</t>
  </si>
  <si>
    <t>CTW-PPW-054-1017-F</t>
  </si>
  <si>
    <t>0 37170704</t>
  </si>
  <si>
    <t>G2911416T</t>
  </si>
  <si>
    <t>RAJENDIRAN SANKAR</t>
  </si>
  <si>
    <t>0 36000961</t>
  </si>
  <si>
    <t>G2255861M</t>
  </si>
  <si>
    <t>DHANASEKARAN RAJA KUMAR</t>
  </si>
  <si>
    <t>0 63428515</t>
  </si>
  <si>
    <t>G6845811R</t>
  </si>
  <si>
    <t>KHAN MOHAMMED ALI</t>
  </si>
  <si>
    <t>CTW-PPW-532-0418-C</t>
  </si>
  <si>
    <t>0 63306428</t>
  </si>
  <si>
    <t>G4116099W</t>
  </si>
  <si>
    <t>HOSSAIN MD AMJAD</t>
  </si>
  <si>
    <t>CTW-PPW-095-0815-D</t>
  </si>
  <si>
    <t>0 95121640</t>
  </si>
  <si>
    <t>M3043374W</t>
  </si>
  <si>
    <t>LAL HNIN THANG</t>
  </si>
  <si>
    <t>0 39141779</t>
  </si>
  <si>
    <t>0 39324792</t>
  </si>
  <si>
    <t>M3319839J</t>
  </si>
  <si>
    <t>BOSE AJITHKUMAR</t>
  </si>
  <si>
    <t>0 36169125</t>
  </si>
  <si>
    <t>G2332562X</t>
  </si>
  <si>
    <t>SIVAMANI PADMANATHAN</t>
  </si>
  <si>
    <t>CTW-PPW-528-0418-C</t>
  </si>
  <si>
    <t>0 34934398</t>
  </si>
  <si>
    <t>G6615859X</t>
  </si>
  <si>
    <t>KANNAN PERIYASAMY</t>
  </si>
  <si>
    <t>0 6443246-</t>
  </si>
  <si>
    <t>0 35554246</t>
  </si>
  <si>
    <t>G2023539Q</t>
  </si>
  <si>
    <t>RAJAMANICKAM JEGAN</t>
  </si>
  <si>
    <t>0 38856871</t>
  </si>
  <si>
    <t>M3139909W</t>
  </si>
  <si>
    <t>PERUMAL AJAY</t>
  </si>
  <si>
    <t>0 65151669</t>
  </si>
  <si>
    <t>HOSSAIN MD ANTOR</t>
  </si>
  <si>
    <t>0 65446952</t>
  </si>
  <si>
    <t>M3223619N</t>
  </si>
  <si>
    <t>AHMED MD RAJU</t>
  </si>
  <si>
    <t>0 63329053</t>
  </si>
  <si>
    <t>G6742278W</t>
  </si>
  <si>
    <t>ISLAM ARIFUL</t>
  </si>
  <si>
    <t>CTF-RCW-216-1021-F</t>
  </si>
  <si>
    <t>0 64349384</t>
  </si>
  <si>
    <t>G2496372T</t>
  </si>
  <si>
    <t>MIAH BILLAL</t>
  </si>
  <si>
    <t>CTW-PPW-184-0919-D</t>
  </si>
  <si>
    <t>0 94810507</t>
  </si>
  <si>
    <t>G3924115W</t>
  </si>
  <si>
    <t>0 95277012</t>
  </si>
  <si>
    <t>M4252224K</t>
  </si>
  <si>
    <t>0 95444113</t>
  </si>
  <si>
    <t>M4291957P</t>
  </si>
  <si>
    <t>0 38092790</t>
  </si>
  <si>
    <t>G8833030M</t>
  </si>
  <si>
    <t>ANNADURAL ARUL</t>
  </si>
  <si>
    <t>0 64325868</t>
  </si>
  <si>
    <t>G2669167U</t>
  </si>
  <si>
    <t>ISLAM MOHAMMAD MOHIDUL</t>
  </si>
  <si>
    <t>CTW-ELW-838-0723-E</t>
  </si>
  <si>
    <t>0 96619278</t>
  </si>
  <si>
    <t>G4584131J</t>
  </si>
  <si>
    <t>MYANMR</t>
  </si>
  <si>
    <t>0 63098094</t>
  </si>
  <si>
    <t>G6517390K</t>
  </si>
  <si>
    <t>ALI HOSAIN</t>
  </si>
  <si>
    <t>0 3833543-</t>
  </si>
  <si>
    <t>G8937013U</t>
  </si>
  <si>
    <t>ANANDHAN AJITHKUMAR</t>
  </si>
  <si>
    <t>0 6538812-</t>
  </si>
  <si>
    <t>M3177588K</t>
  </si>
  <si>
    <t>KABIR NIAMUL</t>
  </si>
  <si>
    <t>0 39008734</t>
  </si>
  <si>
    <t>M3178352J</t>
  </si>
  <si>
    <t>LAKSHMANAN SELVARAJU</t>
  </si>
  <si>
    <t>0 34195374</t>
  </si>
  <si>
    <t>G8219297U</t>
  </si>
  <si>
    <t>SUBBAIYAH SIVAKUMAR</t>
  </si>
  <si>
    <t>MD RAJU AHMED</t>
  </si>
  <si>
    <t>0 34682445</t>
  </si>
  <si>
    <t>G8461259L</t>
  </si>
  <si>
    <t>SAKTHIVEL KARTHICK</t>
  </si>
  <si>
    <t>0 6406424-</t>
  </si>
  <si>
    <t>0 6501162-</t>
  </si>
  <si>
    <t>0 35654941</t>
  </si>
  <si>
    <t>G2086020R</t>
  </si>
  <si>
    <t>MARIMUTHU MEENAKSHISUNDARAM</t>
  </si>
  <si>
    <t>0 38525379</t>
  </si>
  <si>
    <t>G4139269Q</t>
  </si>
  <si>
    <t>RAMALINGAM KARTHICK</t>
  </si>
  <si>
    <t>0 35747583</t>
  </si>
  <si>
    <t>G2134332W</t>
  </si>
  <si>
    <t>PERIYASAMY PUNNIYAMOORTHI</t>
  </si>
  <si>
    <t>0 36998512</t>
  </si>
  <si>
    <t>G2744385R</t>
  </si>
  <si>
    <t xml:space="preserve"> MUNIYANDI VEERASAMY</t>
  </si>
  <si>
    <t>0 32810381</t>
  </si>
  <si>
    <t>G7476994U</t>
  </si>
  <si>
    <t>ANNAMALAI PALANISAMY</t>
  </si>
  <si>
    <t>G1444961U</t>
  </si>
  <si>
    <t>FAMILY</t>
  </si>
  <si>
    <t>CHEM A MUIA</t>
  </si>
  <si>
    <t>Lig. enh/@iquyMenio</t>
  </si>
  <si>
    <t>7 uneSienia</t>
  </si>
  <si>
    <t>Sex : MALE</t>
  </si>
  <si>
    <t>Passport No. : MF918766</t>
  </si>
  <si>
    <t>Management work at Height</t>
  </si>
  <si>
    <t xml:space="preserve">Name </t>
  </si>
  <si>
    <t>Expired date</t>
  </si>
  <si>
    <t>Balance date</t>
  </si>
</sst>
</file>

<file path=xl/styles.xml><?xml version="1.0" encoding="utf-8"?>
<styleSheet xmlns="http://schemas.openxmlformats.org/spreadsheetml/2006/main">
  <numFmts count="3">
    <numFmt numFmtId="164" formatCode="dd-mm-yyyy"/>
    <numFmt numFmtId="165" formatCode="dd-mmm-yyyy"/>
    <numFmt numFmtId="166" formatCode="_-&quot;$&quot;* #,##0.00_-;-&quot;$&quot;* #,##0.00_-;_-&quot;$&quot;* &quot;-&quot;??_-;_-@_-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4"/>
      <color theme="1"/>
      <name val="Calibri"/>
      <scheme val="minor"/>
    </font>
    <font>
      <b/>
      <sz val="16"/>
      <color theme="1"/>
      <name val="Calibri"/>
      <scheme val="minor"/>
    </font>
    <font>
      <b/>
      <sz val="11"/>
      <color theme="0"/>
      <name val="Calibri"/>
      <scheme val="minor"/>
    </font>
    <font>
      <b/>
      <sz val="11"/>
      <color rgb="FF7030A0"/>
      <name val="Calibri"/>
      <scheme val="minor"/>
    </font>
    <font>
      <b/>
      <sz val="12"/>
      <color theme="1"/>
      <name val="Calibri"/>
      <scheme val="minor"/>
    </font>
    <font>
      <b/>
      <sz val="11"/>
      <color theme="9" tint="-0.249977111117893"/>
      <name val="Calibri"/>
      <scheme val="minor"/>
    </font>
    <font>
      <b/>
      <sz val="11"/>
      <color rgb="FF0070C0"/>
      <name val="Calibri"/>
      <scheme val="minor"/>
    </font>
    <font>
      <b/>
      <sz val="12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b/>
      <sz val="10"/>
      <color theme="1"/>
      <name val="Calibri"/>
      <scheme val="minor"/>
    </font>
    <font>
      <b/>
      <sz val="10"/>
      <color theme="1"/>
      <name val="Arial"/>
    </font>
    <font>
      <sz val="8"/>
      <color theme="1"/>
      <name val="Arial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399975585192419"/>
        <bgColor theme="4" tint="0.599993896298105"/>
      </patternFill>
    </fill>
    <fill>
      <patternFill patternType="solid">
        <fgColor theme="9" tint="0.399975585192419"/>
        <bgColor theme="4" tint="0.79998168889431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2" tint="-0.249977111117893"/>
        <bgColor theme="4" tint="0.79998168889431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 tint="-0.0999786370433668"/>
        <bgColor indexed="64"/>
      </patternFill>
    </fill>
  </fills>
  <borders count="11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top style="thin">
        <color auto="1"/>
      </top>
      <bottom style="thin">
        <color auto="1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bottom style="thin">
        <color auto="1"/>
      </bottom>
    </border>
    <border>
      <left style="thin">
        <color auto="1"/>
      </left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</border>
    <border>
      <left style="thin">
        <color auto="1"/>
      </left>
      <top style="thin">
        <color auto="1"/>
      </top>
    </border>
  </borders>
  <cellStyleXfs count="4">
    <xf numFmtId="0" fontId="0" fillId="0" borderId="0"/>
    <xf numFmtId="166" fontId="0" fillId="0" borderId="0"/>
    <xf numFmtId="166" fontId="0" fillId="0" borderId="0"/>
    <xf numFmtId="166" fontId="0" fillId="0" borderId="0"/>
  </cellStyleXfs>
  <cellXfs count="12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1" fillId="4" borderId="1" xfId="0" applyFont="1" applyFill="1" applyBorder="1" applyAlignment="1">
      <alignment horizontal="right"/>
    </xf>
    <xf numFmtId="14" fontId="0" fillId="5" borderId="1" xfId="0" applyNumberFormat="1" applyFill="1" applyBorder="1" applyAlignment="1">
      <alignment horizontal="center"/>
    </xf>
    <xf numFmtId="14" fontId="1" fillId="5" borderId="1" xfId="0" applyNumberFormat="1" applyFont="1" applyFill="1" applyBorder="1"/>
    <xf numFmtId="0" fontId="0" fillId="4" borderId="1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2" fillId="0" borderId="2" xfId="0" applyFont="1" applyBorder="1"/>
    <xf numFmtId="0" fontId="3" fillId="0" borderId="0" xfId="0" applyFont="1"/>
    <xf numFmtId="0" fontId="2" fillId="0" borderId="0" xfId="0" applyFont="1" applyAlignment="1">
      <alignment horizontal="center"/>
    </xf>
    <xf numFmtId="0" fontId="0" fillId="4" borderId="3" xfId="0" applyFill="1" applyBorder="1" applyAlignment="1">
      <alignment horizontal="right"/>
    </xf>
    <xf numFmtId="0" fontId="0" fillId="0" borderId="4" xfId="0" applyBorder="1" applyAlignment="1">
      <alignment horizontal="center"/>
    </xf>
    <xf numFmtId="0" fontId="2" fillId="0" borderId="4" xfId="0" applyFont="1" applyBorder="1"/>
    <xf numFmtId="0" fontId="2" fillId="0" borderId="0" xfId="0" applyFont="1" applyAlignment="1">
      <alignment horizontal="right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6" xfId="0" applyFont="1" applyBorder="1" applyAlignment="1">
      <alignment horizontal="center"/>
    </xf>
    <xf numFmtId="0" fontId="4" fillId="6" borderId="1" xfId="0" applyFont="1" applyFill="1" applyBorder="1" applyAlignment="1">
      <alignment horizontal="center" vertical="top"/>
    </xf>
    <xf numFmtId="0" fontId="4" fillId="6" borderId="7" xfId="0" applyFont="1" applyFill="1" applyBorder="1" applyAlignment="1">
      <alignment horizontal="center" vertical="top"/>
    </xf>
    <xf numFmtId="0" fontId="4" fillId="6" borderId="2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7" borderId="6" xfId="0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165" fontId="6" fillId="7" borderId="5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164" fontId="1" fillId="12" borderId="8" xfId="0" applyNumberFormat="1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0" fillId="3" borderId="1" xfId="0" applyFill="1" applyBorder="1"/>
    <xf numFmtId="164" fontId="1" fillId="14" borderId="1" xfId="0" applyNumberFormat="1" applyFont="1" applyFill="1" applyBorder="1" applyAlignment="1">
      <alignment horizontal="center"/>
    </xf>
    <xf numFmtId="164" fontId="1" fillId="7" borderId="3" xfId="0" quotePrefix="1" applyNumberFormat="1" applyFont="1" applyFill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4" fontId="1" fillId="13" borderId="8" xfId="0" applyNumberFormat="1" applyFont="1" applyFill="1" applyBorder="1" applyAlignment="1">
      <alignment horizontal="center"/>
    </xf>
    <xf numFmtId="165" fontId="6" fillId="7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7" borderId="3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4" fontId="1" fillId="0" borderId="3" xfId="0" quotePrefix="1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4" fontId="1" fillId="7" borderId="3" xfId="0" quotePrefix="1" applyNumberFormat="1" applyFont="1" applyFill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" xfId="0" quotePrefix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64" fontId="1" fillId="7" borderId="3" xfId="0" applyNumberFormat="1" applyFont="1" applyFill="1" applyBorder="1" applyAlignment="1">
      <alignment horizontal="center" vertical="center"/>
    </xf>
    <xf numFmtId="0" fontId="1" fillId="0" borderId="9" xfId="0" quotePrefix="1" applyFont="1" applyBorder="1" applyAlignment="1">
      <alignment horizontal="center"/>
    </xf>
    <xf numFmtId="164" fontId="1" fillId="7" borderId="1" xfId="0" quotePrefix="1" applyNumberFormat="1" applyFont="1" applyFill="1" applyBorder="1" applyAlignment="1">
      <alignment horizontal="center"/>
    </xf>
    <xf numFmtId="165" fontId="1" fillId="0" borderId="1" xfId="0" quotePrefix="1" applyNumberFormat="1" applyFont="1" applyBorder="1" applyAlignment="1">
      <alignment horizontal="center"/>
    </xf>
    <xf numFmtId="0" fontId="0" fillId="0" borderId="0" xfId="0" quotePrefix="1" applyAlignment="1">
      <alignment horizontal="center"/>
    </xf>
    <xf numFmtId="14" fontId="1" fillId="2" borderId="3" xfId="0" applyNumberFormat="1" applyFont="1" applyFill="1" applyBorder="1" applyAlignment="1">
      <alignment horizontal="center"/>
    </xf>
    <xf numFmtId="164" fontId="1" fillId="2" borderId="3" xfId="0" quotePrefix="1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14" fontId="1" fillId="3" borderId="3" xfId="0" applyNumberFormat="1" applyFont="1" applyFill="1" applyBorder="1" applyAlignment="1">
      <alignment horizontal="center"/>
    </xf>
    <xf numFmtId="164" fontId="1" fillId="3" borderId="3" xfId="0" quotePrefix="1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" xfId="0" quotePrefix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14" fontId="1" fillId="3" borderId="10" xfId="0" applyNumberFormat="1" applyFont="1" applyFill="1" applyBorder="1" applyAlignment="1">
      <alignment horizontal="center"/>
    </xf>
    <xf numFmtId="164" fontId="1" fillId="3" borderId="10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164" fontId="0" fillId="0" borderId="0" xfId="0" applyNumberFormat="1"/>
    <xf numFmtId="0" fontId="10" fillId="0" borderId="0" xfId="0" applyFont="1"/>
    <xf numFmtId="0" fontId="11" fillId="0" borderId="0" xfId="0" applyFont="1"/>
    <xf numFmtId="0" fontId="12" fillId="4" borderId="1" xfId="0" applyFont="1" applyFill="1" applyBorder="1" applyAlignment="1">
      <alignment horizontal="right"/>
    </xf>
    <xf numFmtId="14" fontId="12" fillId="5" borderId="1" xfId="0" applyNumberFormat="1" applyFont="1" applyFill="1" applyBorder="1"/>
    <xf numFmtId="0" fontId="10" fillId="4" borderId="1" xfId="0" applyFont="1" applyFill="1" applyBorder="1" applyAlignment="1">
      <alignment horizontal="right"/>
    </xf>
    <xf numFmtId="0" fontId="12" fillId="0" borderId="2" xfId="0" applyFont="1" applyBorder="1"/>
    <xf numFmtId="0" fontId="10" fillId="4" borderId="3" xfId="0" applyFont="1" applyFill="1" applyBorder="1" applyAlignment="1">
      <alignment horizontal="right"/>
    </xf>
    <xf numFmtId="0" fontId="12" fillId="0" borderId="4" xfId="0" applyFont="1" applyBorder="1"/>
    <xf numFmtId="0" fontId="13" fillId="15" borderId="0" xfId="0" applyFont="1" applyFill="1" applyAlignment="1">
      <alignment horizontal="center"/>
    </xf>
    <xf numFmtId="0" fontId="13" fillId="15" borderId="0" xfId="0" applyFont="1" applyFill="1"/>
    <xf numFmtId="0" fontId="14" fillId="16" borderId="1" xfId="0" applyFont="1" applyFill="1" applyBorder="1" applyAlignment="1">
      <alignment horizontal="center"/>
    </xf>
    <xf numFmtId="0" fontId="14" fillId="16" borderId="1" xfId="0" applyFont="1" applyFill="1" applyBorder="1"/>
    <xf numFmtId="0" fontId="14" fillId="16" borderId="1" xfId="0" quotePrefix="1" applyFont="1" applyFill="1" applyBorder="1" applyAlignment="1">
      <alignment horizontal="center"/>
    </xf>
    <xf numFmtId="14" fontId="14" fillId="16" borderId="1" xfId="0" applyNumberFormat="1" applyFont="1" applyFill="1" applyBorder="1" applyAlignment="1">
      <alignment horizontal="center"/>
    </xf>
    <xf numFmtId="0" fontId="11" fillId="0" borderId="0" xfId="0" applyFont="1" applyAlignment="1">
      <alignment horizontal="left"/>
    </xf>
  </cellXfs>
  <cellStyles count="4">
    <cellStyle name="Normal" xfId="0" builtinId="0"/>
    <cellStyle name="Currency 2" xfId="1"/>
    <cellStyle name="Currency 3" xfId="2"/>
    <cellStyle name="Currency 4" xfId="3"/>
  </cellStyles>
  <dxfs count="18"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right style="thin">
          <color auto="1"/>
        </right>
        <top style="thin">
          <color auto="1"/>
        </top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9" tint="-0.249977111117893"/>
        <name val="Calibri"/>
        <family val="2"/>
        <scheme val="minor"/>
      </font>
      <alignment horizontal="center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left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4" formatCode="dd-mm-yyyy"/>
      <alignment horizontal="center" vertical="bottom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4" formatCode="dd-mm-yyyy"/>
      <fill>
        <patternFill patternType="solid">
          <fgColor indexed="64"/>
          <bgColor theme="0"/>
        </patternFill>
      </fill>
      <alignment horizontal="center" vertical="bottom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  <border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49" formatCode="@"/>
      <fill>
        <patternFill>
          <bgColor theme="1" tint="0.0499893185216834"/>
        </patternFill>
      </fill>
    </dxf>
  </dxfs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calcChain" Target="calcChain.xml" /><Relationship Id="rId6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2" displayName="Table2" ref="A5:Q59" totalsRowShown="0" headerRowDxfId="0" headerRowBorderDxfId="1" tableBorderDxfId="2">
  <autoFilter ref="A5:Q59"/>
  <sortState ref="A6:Q55">
    <sortCondition descending="1" ref="E5:E55"/>
  </sortState>
  <tableColumns count="17">
    <tableColumn id="1" name="S/N" dataDxfId="3"/>
    <tableColumn id="2" name="WP No" dataDxfId="3"/>
    <tableColumn id="3" name="FIN NO" dataDxfId="4"/>
    <tableColumn id="4" name="Nationality" dataDxfId="3"/>
    <tableColumn id="5" name="Company" dataDxfId="5"/>
    <tableColumn id="6" name="Name" dataDxfId="6"/>
    <tableColumn id="7" name="Date of Birth" dataDxfId="7"/>
    <tableColumn id="8" name="WP Expiry Date" dataDxfId="8"/>
    <tableColumn id="9" name="Balance day" dataDxfId="9">
      <calculatedColumnFormula>H6-$I$1</calculatedColumnFormula>
    </tableColumn>
    <tableColumn id="10" name="Status" dataDxfId="3">
      <calculatedColumnFormula>IF(I6&lt;$I$2,"Expired",IF(I6&lt;=$I$3,"Warning","on time"))</calculatedColumnFormula>
    </tableColumn>
    <tableColumn id="11" name="CSOC EXPIRED DATE" dataDxfId="10"/>
    <tableColumn id="12" name="Balance day2" dataDxfId="3">
      <calculatedColumnFormula>IF(OR(ISNUMBER(K6)=FALSE, ISNUMBER($M$1)=FALSE), "NA",K6-$M$1)</calculatedColumnFormula>
    </tableColumn>
    <tableColumn id="13" name="Status3" dataDxfId="11">
      <calculatedColumnFormula>IF(OR(L6="NA",NOT(ISNUMBER(L6))),"NA",IF(L6&lt;$M$2,"Expired",IF(L6&lt;$M$3,"Warning","On time")))</calculatedColumnFormula>
    </tableColumn>
    <tableColumn id="14" name="CORETRADE NO." dataDxfId="3"/>
    <tableColumn id="15" name="CORETRADE EXPIRED DATE" dataDxfId="3"/>
    <tableColumn id="16" name="Balance day4" dataDxfId="12">
      <calculatedColumnFormula>IF(OR(ISNUMBER(O6)=FALSE,ISNUMBER($Q$1)=FALSE), "NA",O6-$Q$1)</calculatedColumnFormula>
    </tableColumn>
    <tableColumn id="17" name="Status5" dataDxfId="13">
      <calculatedColumnFormula>IF(OR(P6="NA",NOT(ISNUMBER(P6))),"NA",IF(P6&lt;$Q$2,"Expired",IF(P6&lt;$Q$3,"Warning","On time")))</calculatedColumnFormula>
    </tableColumn>
  </tableColumns>
  <tableStyleInfo name="TableStyleMedium9" showColumnStripes="0" showFirstColumn="0" showLastColumn="0" showRow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zoomScale="80" zoomScaleNormal="80" workbookViewId="0" topLeftCell="A48">
      <selection activeCell="E64" sqref="E64"/>
    </sheetView>
  </sheetViews>
  <sheetFormatPr defaultRowHeight="15"/>
  <cols>
    <col min="2" max="2" width="15.28516" customWidth="1"/>
    <col min="3" max="3" width="18.14063" customWidth="1"/>
    <col min="4" max="4" width="16.57031" customWidth="1"/>
    <col min="5" max="5" width="20.57031" customWidth="1"/>
    <col min="6" max="6" width="38" bestFit="1" customWidth="1"/>
    <col min="7" max="7" width="18.42578" bestFit="1" customWidth="1"/>
    <col min="8" max="8" width="17.14063" customWidth="1"/>
    <col min="9" max="9" width="16.85547" style="3" customWidth="1"/>
    <col min="10" max="10" width="16.57031" customWidth="1"/>
    <col min="11" max="11" width="21.42578" customWidth="1"/>
    <col min="12" max="12" width="18.14063" customWidth="1"/>
    <col min="13" max="13" width="16.28516" customWidth="1"/>
    <col min="14" max="14" width="24.14063" bestFit="1" customWidth="1"/>
    <col min="15" max="15" width="27.71094" customWidth="1"/>
    <col min="16" max="16" width="20.14063" customWidth="1"/>
    <col min="17" max="17" width="15.42578" customWidth="1"/>
    <col min="20" max="20" width="33.14063" bestFit="1" customWidth="1"/>
    <col min="21" max="21" width="28.71094" customWidth="1"/>
    <col min="22" max="22" width="43.71094" customWidth="1"/>
    <col min="23" max="23" width="40.57031" bestFit="1" customWidth="1"/>
    <col min="24" max="25" width="15.71094" customWidth="1"/>
    <col min="26" max="26" width="38" bestFit="1" customWidth="1"/>
    <col min="27" max="27" width="21.28516" customWidth="1"/>
    <col min="28" max="28" width="12.71094" bestFit="1" customWidth="1"/>
    <col min="29" max="29" width="23.28516" bestFit="1" customWidth="1"/>
    <col min="30" max="30" width="12.14063" customWidth="1"/>
    <col min="31" max="31" width="6.285156" customWidth="1"/>
    <col min="32" max="32" width="28.71094" bestFit="1" customWidth="1"/>
    <col min="33" max="33" width="13" customWidth="1"/>
    <col min="34" max="34" width="38.71094" bestFit="1" customWidth="1"/>
    <col min="35" max="35" width="12.71094" bestFit="1" customWidth="1"/>
    <col min="36" max="36" width="23.28516" bestFit="1" customWidth="1"/>
    <col min="37" max="37" width="24.85547" bestFit="1" customWidth="1"/>
    <col min="38" max="38" width="13.71094" bestFit="1" customWidth="1"/>
  </cols>
  <sheetData>
    <row r="1" ht="18.75" customHeight="1">
      <c r="A1" s="4"/>
      <c r="B1" s="5" t="s">
        <v>0</v>
      </c>
      <c r="C1" s="4"/>
      <c r="D1" s="4"/>
      <c r="E1" s="4"/>
      <c r="F1" s="4"/>
      <c r="G1" s="4"/>
      <c r="H1" s="6" t="s">
        <v>1</v>
      </c>
      <c r="I1" s="7">
        <f ca="1">TODAY()</f>
        <v>46139</v>
      </c>
      <c r="J1" s="4"/>
      <c r="L1" s="6" t="s">
        <v>1</v>
      </c>
      <c r="M1" s="8">
        <f ca="1">TODAY()</f>
        <v>46139</v>
      </c>
      <c r="N1" s="4"/>
      <c r="P1" s="6" t="s">
        <v>1</v>
      </c>
      <c r="Q1" s="8">
        <f ca="1">TODAY()</f>
        <v>46139</v>
      </c>
      <c r="V1" s="6" t="s">
        <v>1</v>
      </c>
      <c r="W1" s="8">
        <f ca="1">TODAY()</f>
        <v>46139</v>
      </c>
      <c r="AA1" s="6" t="s">
        <v>1</v>
      </c>
      <c r="AB1" s="8">
        <f ca="1">TODAY()</f>
        <v>46139</v>
      </c>
      <c r="AH1" s="6" t="s">
        <v>1</v>
      </c>
      <c r="AI1" s="8">
        <f ca="1">TODAY()</f>
        <v>46139</v>
      </c>
    </row>
    <row r="2" ht="21" customHeight="1">
      <c r="A2" s="4"/>
      <c r="B2" s="5" t="s">
        <v>2</v>
      </c>
      <c r="F2" s="4"/>
      <c r="G2" s="4"/>
      <c r="H2" s="9" t="s">
        <v>3</v>
      </c>
      <c r="I2" s="10"/>
      <c r="J2" s="5"/>
      <c r="L2" s="9" t="s">
        <v>3</v>
      </c>
      <c r="M2" s="11">
        <v>30</v>
      </c>
      <c r="N2" s="4"/>
      <c r="P2" s="9" t="s">
        <v>3</v>
      </c>
      <c r="Q2" s="11">
        <v>30</v>
      </c>
      <c r="T2" s="5" t="s">
        <v>4</v>
      </c>
      <c r="V2" s="9" t="s">
        <v>3</v>
      </c>
      <c r="W2" s="11">
        <v>30</v>
      </c>
      <c r="Z2" s="12" t="s">
        <v>5</v>
      </c>
      <c r="AA2" s="9" t="s">
        <v>3</v>
      </c>
      <c r="AB2" s="11"/>
      <c r="AF2" s="13" t="s">
        <v>6</v>
      </c>
      <c r="AH2" s="9" t="s">
        <v>3</v>
      </c>
      <c r="AI2" s="11">
        <v>30</v>
      </c>
    </row>
    <row r="3" thickBot="1" ht="19.5" customHeight="1">
      <c r="A3" s="4"/>
      <c r="B3" s="4"/>
      <c r="F3" s="4"/>
      <c r="G3" s="4"/>
      <c r="H3" s="14" t="s">
        <v>7</v>
      </c>
      <c r="I3" s="15">
        <v>30</v>
      </c>
      <c r="J3" s="5"/>
      <c r="L3" s="14" t="s">
        <v>7</v>
      </c>
      <c r="M3" s="16">
        <v>60</v>
      </c>
      <c r="N3" s="4"/>
      <c r="P3" s="14" t="s">
        <v>7</v>
      </c>
      <c r="Q3" s="16">
        <v>120</v>
      </c>
      <c r="V3" s="14" t="s">
        <v>7</v>
      </c>
      <c r="W3" s="16">
        <v>120</v>
      </c>
      <c r="AA3" s="14" t="s">
        <v>7</v>
      </c>
      <c r="AB3" s="16">
        <v>120</v>
      </c>
      <c r="AH3" s="14" t="s">
        <v>7</v>
      </c>
      <c r="AI3" s="16">
        <v>120</v>
      </c>
    </row>
    <row r="4" ht="18.75" customHeight="1">
      <c r="A4" s="4"/>
      <c r="B4" s="4"/>
      <c r="C4" s="5"/>
      <c r="D4" s="5"/>
      <c r="E4" s="5"/>
      <c r="F4" s="4"/>
      <c r="G4" s="4"/>
      <c r="H4" s="17"/>
      <c r="J4" s="5"/>
      <c r="K4" s="4"/>
      <c r="L4" s="4"/>
      <c r="M4" s="4"/>
      <c r="N4" s="4"/>
      <c r="O4" s="4"/>
      <c r="P4" s="4"/>
      <c r="Q4" s="4"/>
    </row>
    <row r="5">
      <c r="A5" s="18" t="s">
        <v>8</v>
      </c>
      <c r="B5" s="18" t="s">
        <v>9</v>
      </c>
      <c r="C5" s="18" t="s">
        <v>10</v>
      </c>
      <c r="D5" s="18" t="s">
        <v>11</v>
      </c>
      <c r="E5" s="18" t="s">
        <v>12</v>
      </c>
      <c r="F5" s="18" t="s">
        <v>13</v>
      </c>
      <c r="G5" s="18" t="s">
        <v>14</v>
      </c>
      <c r="H5" s="18" t="s">
        <v>15</v>
      </c>
      <c r="I5" s="18" t="s">
        <v>16</v>
      </c>
      <c r="J5" s="19" t="s">
        <v>17</v>
      </c>
      <c r="K5" s="18" t="s">
        <v>18</v>
      </c>
      <c r="L5" s="18" t="s">
        <v>19</v>
      </c>
      <c r="M5" s="18" t="s">
        <v>20</v>
      </c>
      <c r="N5" s="18" t="s">
        <v>21</v>
      </c>
      <c r="O5" s="18" t="s">
        <v>22</v>
      </c>
      <c r="P5" s="18" t="s">
        <v>23</v>
      </c>
      <c r="Q5" s="20" t="s">
        <v>24</v>
      </c>
      <c r="S5" s="21" t="s">
        <v>25</v>
      </c>
      <c r="T5" s="21" t="s">
        <v>13</v>
      </c>
      <c r="U5" s="21" t="s">
        <v>26</v>
      </c>
      <c r="V5" s="21" t="s">
        <v>27</v>
      </c>
      <c r="W5" s="21" t="s">
        <v>16</v>
      </c>
      <c r="X5" s="21" t="s">
        <v>17</v>
      </c>
      <c r="Z5" s="21" t="s">
        <v>13</v>
      </c>
      <c r="AA5" s="21" t="s">
        <v>28</v>
      </c>
      <c r="AB5" s="21" t="s">
        <v>16</v>
      </c>
      <c r="AC5" s="21" t="s">
        <v>17</v>
      </c>
      <c r="AE5" s="22" t="s">
        <v>29</v>
      </c>
      <c r="AF5" s="23" t="s">
        <v>13</v>
      </c>
      <c r="AG5" s="23" t="s">
        <v>26</v>
      </c>
      <c r="AH5" s="23" t="s">
        <v>30</v>
      </c>
      <c r="AI5" s="23" t="s">
        <v>16</v>
      </c>
      <c r="AJ5" s="23" t="s">
        <v>17</v>
      </c>
    </row>
    <row r="6" ht="15" customHeight="1">
      <c r="A6" s="24">
        <v>1</v>
      </c>
      <c r="B6" s="24" t="s">
        <v>31</v>
      </c>
      <c r="C6" s="25" t="s">
        <v>32</v>
      </c>
      <c r="D6" s="24" t="s">
        <v>33</v>
      </c>
      <c r="E6" s="26" t="s">
        <v>34</v>
      </c>
      <c r="F6" s="27" t="s">
        <v>35</v>
      </c>
      <c r="G6" s="28">
        <v>31147</v>
      </c>
      <c r="H6" s="29">
        <v>46521</v>
      </c>
      <c r="I6" s="30">
        <f ca="1">H6-$I$1</f>
        <v>382</v>
      </c>
      <c r="J6" s="31" t="str">
        <f ca="1">IF(I6&lt;$I$2,"Expired",IF(I6&lt;=$I$3,"Warning","on time"))</f>
        <v>on time</v>
      </c>
      <c r="K6" s="32" t="s">
        <v>36</v>
      </c>
      <c r="L6" s="24" t="str">
        <f ca="1">IF(OR(ISNUMBER(K6)=FALSE, ISNUMBER($M$1)=FALSE), "NA",K6-$M$1)</f>
        <v>NA</v>
      </c>
      <c r="M6" s="20" t="str">
        <f ca="1">IF(OR(L6="NA",NOT(ISNUMBER(L6))),"NA",IF(L6&lt;$M$2,"Expired",IF(L6&lt;$M$3,"Warning","On time")))</f>
        <v>NA</v>
      </c>
      <c r="N6" s="33" t="s">
        <v>37</v>
      </c>
      <c r="O6" s="34">
        <v>46528</v>
      </c>
      <c r="P6" s="35">
        <f ca="1">IF(OR(ISNUMBER(O6)=FALSE,ISNUMBER($Q$1)=FALSE), "NA",O6-$Q$1)</f>
        <v>389</v>
      </c>
      <c r="Q6" s="31" t="str">
        <f ca="1">IF(OR(P6="NA",NOT(ISNUMBER(P6))),"NA",IF(P6&lt;$Q$2,"Expired",IF(P6&lt;$Q$3,"Warning","On time")))</f>
        <v>On time</v>
      </c>
      <c r="S6" s="36">
        <v>1</v>
      </c>
      <c r="T6" s="37" t="s">
        <v>38</v>
      </c>
      <c r="U6" s="38" t="s">
        <v>39</v>
      </c>
      <c r="V6" s="39">
        <v>46693</v>
      </c>
      <c r="W6" s="40">
        <f ca="1">V6-$W$1</f>
        <v>554</v>
      </c>
      <c r="X6" s="41" t="str">
        <f ca="1">IF(W6&lt;$W$2,"Expired",IF(W6&lt;=$W$3,"Warning","on time"))</f>
        <v>on time</v>
      </c>
      <c r="Z6" s="42" t="s">
        <v>40</v>
      </c>
      <c r="AA6" s="43">
        <v>46218</v>
      </c>
      <c r="AB6" s="44">
        <f ca="1">AA6-$AB$1</f>
        <v>79</v>
      </c>
      <c r="AC6" s="45" t="str">
        <f ca="1">IF(AB6&lt;$AB$2,"Expired",IF(AB6&lt;=$AB$3,"Warning","on time"))</f>
        <v>Warning</v>
      </c>
      <c r="AE6" s="30">
        <v>1</v>
      </c>
      <c r="AF6" s="46" t="s">
        <v>41</v>
      </c>
      <c r="AG6" s="47" t="s">
        <v>42</v>
      </c>
      <c r="AH6" s="48">
        <v>46304</v>
      </c>
      <c r="AI6" s="47">
        <f ca="1">AH6-$AI$1</f>
        <v>165</v>
      </c>
      <c r="AJ6" s="41" t="str">
        <f ca="1">IF(AI6&lt;$AI$2,"Expired",IF(AI6&lt;=$AI$3,"Warning","on time"))</f>
        <v>on time</v>
      </c>
    </row>
    <row r="7" ht="15" customHeight="1">
      <c r="A7" s="24">
        <v>2</v>
      </c>
      <c r="B7" s="24" t="s">
        <v>43</v>
      </c>
      <c r="C7" s="25" t="s">
        <v>44</v>
      </c>
      <c r="D7" s="24" t="s">
        <v>45</v>
      </c>
      <c r="E7" s="26" t="s">
        <v>46</v>
      </c>
      <c r="F7" s="27" t="s">
        <v>47</v>
      </c>
      <c r="G7" s="29" t="s">
        <v>45</v>
      </c>
      <c r="H7" s="29">
        <v>46489</v>
      </c>
      <c r="I7" s="30">
        <f ca="1">H7-$I$1</f>
        <v>350</v>
      </c>
      <c r="J7" s="31" t="str">
        <f ca="1">IF(I7&lt;$I$2,"Expired",IF(I7&lt;=$I$3,"Warning","on time"))</f>
        <v>on time</v>
      </c>
      <c r="K7" s="49" t="s">
        <v>48</v>
      </c>
      <c r="L7" s="24" t="str">
        <f ca="1">IF(OR(ISNUMBER(K7)=FALSE, ISNUMBER($M$1)=FALSE), "NA",K7-$M$1)</f>
        <v>NA</v>
      </c>
      <c r="M7" s="20" t="str">
        <f ca="1">IF(OR(L7="NA",NOT(ISNUMBER(L7))),"NA",IF(L7&lt;$M$2,"Expired",IF(L7&lt;$M$3,"Warning","On time")))</f>
        <v>NA</v>
      </c>
      <c r="N7" s="50" t="s">
        <v>49</v>
      </c>
      <c r="O7" s="50" t="s">
        <v>49</v>
      </c>
      <c r="P7" s="35" t="str">
        <f ca="1">IF(OR(ISNUMBER(O7)=FALSE,ISNUMBER($Q$1)=FALSE), "NA",O7-$Q$1)</f>
        <v>NA</v>
      </c>
      <c r="Q7" s="31" t="str">
        <f ca="1">IF(OR(P7="NA",NOT(ISNUMBER(P7))),"NA",IF(P7&lt;$Q$2,"Expired",IF(P7&lt;$Q$3,"Warning","On time")))</f>
        <v>NA</v>
      </c>
      <c r="S7" s="36">
        <v>2</v>
      </c>
      <c r="T7" s="51" t="s">
        <v>41</v>
      </c>
      <c r="U7" s="38" t="s">
        <v>42</v>
      </c>
      <c r="V7" s="39">
        <v>45020</v>
      </c>
      <c r="W7" s="40">
        <f ca="1">V7-$W$1</f>
        <v>-1119</v>
      </c>
      <c r="X7" s="41" t="str">
        <f ca="1">IF(W7&lt;$W$2,"Expired",IF(W7&lt;=$W$3,"Warning","on time"))</f>
        <v>Expired</v>
      </c>
      <c r="Z7" s="45" t="s">
        <v>50</v>
      </c>
      <c r="AA7" s="52">
        <v>46397</v>
      </c>
      <c r="AB7" s="44">
        <f ca="1">AA7-$AB$1</f>
        <v>258</v>
      </c>
      <c r="AC7" s="45" t="str">
        <f ca="1">IF(AB7&lt;$AB$2,"Expired",IF(AB7&lt;=$AB$3,"Warning","on time"))</f>
        <v>on time</v>
      </c>
      <c r="AE7" s="3"/>
    </row>
    <row r="8" ht="15.75" customHeight="1">
      <c r="A8" s="24">
        <v>3</v>
      </c>
      <c r="B8" s="24" t="s">
        <v>51</v>
      </c>
      <c r="C8" s="25" t="s">
        <v>52</v>
      </c>
      <c r="D8" s="24" t="s">
        <v>53</v>
      </c>
      <c r="E8" s="26" t="s">
        <v>46</v>
      </c>
      <c r="F8" s="27" t="s">
        <v>54</v>
      </c>
      <c r="G8" s="28">
        <v>37360</v>
      </c>
      <c r="H8" s="29">
        <v>46489</v>
      </c>
      <c r="I8" s="30">
        <f ca="1">H8-$I$1</f>
        <v>350</v>
      </c>
      <c r="J8" s="31" t="str">
        <f ca="1">IF(I8&lt;$I$2,"Expired",IF(I8&lt;=$I$3,"Warning","on time"))</f>
        <v>on time</v>
      </c>
      <c r="K8" s="49" t="s">
        <v>48</v>
      </c>
      <c r="L8" s="24" t="str">
        <f ca="1">IF(OR(ISNUMBER(K8)=FALSE, ISNUMBER($M$1)=FALSE), "NA",K8-$M$1)</f>
        <v>NA</v>
      </c>
      <c r="M8" s="20" t="str">
        <f ca="1">IF(OR(L8="NA",NOT(ISNUMBER(L8))),"NA",IF(L8&lt;$M$2,"Expired",IF(L8&lt;$M$3,"Warning","On time")))</f>
        <v>NA</v>
      </c>
      <c r="N8" s="50" t="s">
        <v>49</v>
      </c>
      <c r="O8" s="50" t="s">
        <v>49</v>
      </c>
      <c r="P8" s="35" t="str">
        <f ca="1">IF(OR(ISNUMBER(O8)=FALSE,ISNUMBER($Q$1)=FALSE), "NA",O8-$Q$1)</f>
        <v>NA</v>
      </c>
      <c r="Q8" s="31" t="str">
        <f ca="1">IF(OR(P8="NA",NOT(ISNUMBER(P8))),"NA",IF(P8&lt;$Q$2,"Expired",IF(P8&lt;$Q$3,"Warning","On time")))</f>
        <v>NA</v>
      </c>
      <c r="S8" s="38">
        <v>3</v>
      </c>
      <c r="T8" s="51" t="s">
        <v>47</v>
      </c>
      <c r="U8" s="38" t="s">
        <v>44</v>
      </c>
      <c r="V8" s="39">
        <v>45952</v>
      </c>
      <c r="W8" s="40">
        <f ca="1">V8-$W$1</f>
        <v>-187</v>
      </c>
      <c r="X8" s="41" t="str">
        <f ca="1">IF(W8&lt;$W$2,"Expired",IF(W8&lt;=$W$3,"Warning","on time"))</f>
        <v>Expired</v>
      </c>
      <c r="Z8" s="45" t="s">
        <v>55</v>
      </c>
      <c r="AA8" s="52">
        <v>46158</v>
      </c>
      <c r="AB8" s="44">
        <f ca="1">AA8-$AB$1</f>
        <v>19</v>
      </c>
      <c r="AC8" s="45" t="str">
        <f ca="1">IF(AB8&lt;$AB$2,"Expired",IF(AB8&lt;=$AB$3,"Warning","on time"))</f>
        <v>Warning</v>
      </c>
      <c r="AE8" s="3"/>
    </row>
    <row r="9" ht="15.75" customHeight="1">
      <c r="A9" s="24">
        <v>4</v>
      </c>
      <c r="B9" s="24" t="s">
        <v>56</v>
      </c>
      <c r="C9" s="25" t="s">
        <v>57</v>
      </c>
      <c r="D9" s="24" t="s">
        <v>58</v>
      </c>
      <c r="E9" s="26" t="s">
        <v>34</v>
      </c>
      <c r="F9" s="27" t="s">
        <v>59</v>
      </c>
      <c r="G9" s="28">
        <v>30054</v>
      </c>
      <c r="H9" s="29">
        <v>46130</v>
      </c>
      <c r="I9" s="30">
        <f ca="1">H9-$I$1</f>
        <v>-9</v>
      </c>
      <c r="J9" s="31" t="str">
        <f ca="1">IF(I9&lt;$I$2,"Expired",IF(I9&lt;=$I$3,"Warning","on time"))</f>
        <v>Expired</v>
      </c>
      <c r="K9" s="49">
        <v>47290</v>
      </c>
      <c r="L9" s="24">
        <f ca="1">IF(OR(ISNUMBER(K9)=FALSE, ISNUMBER($M$1)=FALSE), "NA",K9-$M$1)</f>
        <v>1151</v>
      </c>
      <c r="M9" s="20" t="str">
        <f ca="1">IF(OR(L9="NA",NOT(ISNUMBER(L9))),"NA",IF(L9&lt;$M$2,"Expired",IF(L9&lt;$M$3,"Warning","On time")))</f>
        <v>On time</v>
      </c>
      <c r="N9" s="35" t="s">
        <v>60</v>
      </c>
      <c r="O9" s="53">
        <v>46577</v>
      </c>
      <c r="P9" s="35">
        <f ca="1">IF(OR(ISNUMBER(O9)=FALSE,ISNUMBER($Q$1)=FALSE), "NA",O9-$Q$1)</f>
        <v>438</v>
      </c>
      <c r="Q9" s="31" t="str">
        <f ca="1">IF(OR(P9="NA",NOT(ISNUMBER(P9))),"NA",IF(P9&lt;$Q$2,"Expired",IF(P9&lt;$Q$3,"Warning","On time")))</f>
        <v>On time</v>
      </c>
      <c r="S9" s="38">
        <v>4</v>
      </c>
      <c r="T9" s="51" t="s">
        <v>61</v>
      </c>
      <c r="U9" s="38" t="s">
        <v>62</v>
      </c>
      <c r="V9" s="39">
        <v>46546</v>
      </c>
      <c r="W9" s="40">
        <f ca="1">V9-$W$1</f>
        <v>407</v>
      </c>
      <c r="X9" s="41" t="str">
        <f ca="1">IF(W9&lt;$W$2,"Expired",IF(W9&lt;=$W$3,"Warning","on time"))</f>
        <v>on time</v>
      </c>
      <c r="Z9" s="42" t="s">
        <v>63</v>
      </c>
      <c r="AA9" s="43">
        <v>46503</v>
      </c>
      <c r="AB9" s="44">
        <f ca="1">AA9-$AB$1</f>
        <v>364</v>
      </c>
      <c r="AC9" s="45" t="str">
        <f ca="1">IF(AB9&lt;$AB$2,"Expired",IF(AB9&lt;=$AB$3,"Warning","on time"))</f>
        <v>on time</v>
      </c>
      <c r="AE9" s="3"/>
    </row>
    <row r="10" ht="15.75" customHeight="1">
      <c r="A10" s="24">
        <v>5</v>
      </c>
      <c r="B10" s="24" t="s">
        <v>64</v>
      </c>
      <c r="C10" s="25" t="s">
        <v>65</v>
      </c>
      <c r="D10" s="24" t="s">
        <v>66</v>
      </c>
      <c r="E10" s="26" t="s">
        <v>34</v>
      </c>
      <c r="F10" s="27" t="s">
        <v>67</v>
      </c>
      <c r="G10" s="28">
        <v>38817</v>
      </c>
      <c r="H10" s="29">
        <v>46616</v>
      </c>
      <c r="I10" s="30">
        <f ca="1">H10-$I$1</f>
        <v>477</v>
      </c>
      <c r="J10" s="31" t="str">
        <f ca="1">IF(I10&lt;$I$2,"Expired",IF(I10&lt;=$I$3,"Warning","on time"))</f>
        <v>on time</v>
      </c>
      <c r="K10" s="49">
        <v>46614</v>
      </c>
      <c r="L10" s="24">
        <f ca="1">IF(OR(ISNUMBER(K10)=FALSE, ISNUMBER($M$1)=FALSE), "NA",K10-$M$1)</f>
        <v>475</v>
      </c>
      <c r="M10" s="20" t="str">
        <f ca="1">IF(OR(L10="NA",NOT(ISNUMBER(L10))),"NA",IF(L10&lt;$M$2,"Expired",IF(L10&lt;$M$3,"Warning","On time")))</f>
        <v>On time</v>
      </c>
      <c r="N10" s="50" t="s">
        <v>49</v>
      </c>
      <c r="O10" s="50" t="s">
        <v>49</v>
      </c>
      <c r="P10" s="35" t="str">
        <f ca="1">IF(OR(ISNUMBER(O10)=FALSE,ISNUMBER($Q$1)=FALSE), "NA",O10-$Q$1)</f>
        <v>NA</v>
      </c>
      <c r="Q10" s="31" t="str">
        <f ca="1">IF(OR(P10="NA",NOT(ISNUMBER(P10))),"NA",IF(P10&lt;$Q$2,"Expired",IF(P10&lt;$Q$3,"Warning","On time")))</f>
        <v>NA</v>
      </c>
      <c r="S10" s="38">
        <v>5</v>
      </c>
      <c r="T10" s="51" t="s">
        <v>68</v>
      </c>
      <c r="U10" s="38" t="s">
        <v>69</v>
      </c>
      <c r="V10" s="39">
        <v>46546</v>
      </c>
      <c r="W10" s="40">
        <f ca="1">V10-$W$1</f>
        <v>407</v>
      </c>
      <c r="X10" s="41" t="str">
        <f ca="1">IF(W10&lt;$W$2,"Expired",IF(W10&lt;=$W$3,"Warning","on time"))</f>
        <v>on time</v>
      </c>
      <c r="AE10" s="3"/>
    </row>
    <row r="11" ht="15.75" customHeight="1">
      <c r="A11" s="24">
        <v>6</v>
      </c>
      <c r="B11" s="24"/>
      <c r="C11" s="25"/>
      <c r="D11" s="24"/>
      <c r="E11" s="26" t="s">
        <v>34</v>
      </c>
      <c r="F11" s="27" t="s">
        <v>70</v>
      </c>
      <c r="G11" s="28">
        <v>31101</v>
      </c>
      <c r="H11" s="29"/>
      <c r="I11" s="30">
        <f ca="1">H11-$I$1</f>
        <v>-46139</v>
      </c>
      <c r="J11" s="31" t="str">
        <f ca="1">IF(I11&lt;$I$2,"Expired",IF(I11&lt;=$I$3,"Warning","on time"))</f>
        <v>Expired</v>
      </c>
      <c r="K11" s="49"/>
      <c r="L11" s="24" t="str">
        <f ca="1">IF(OR(ISNUMBER(K11)=FALSE, ISNUMBER($M$1)=FALSE), "NA",K11-$M$1)</f>
        <v>NA</v>
      </c>
      <c r="M11" s="20" t="str">
        <f ca="1">IF(OR(L11="NA",NOT(ISNUMBER(L11))),"NA",IF(L11&lt;$M$2,"Expired",IF(L11&lt;$M$3,"Warning","On time")))</f>
        <v>NA</v>
      </c>
      <c r="N11" s="50" t="s">
        <v>49</v>
      </c>
      <c r="O11" s="50" t="s">
        <v>49</v>
      </c>
      <c r="P11" s="35" t="str">
        <f ca="1">IF(OR(ISNUMBER(O11)=FALSE,ISNUMBER($Q$1)=FALSE), "NA",O11-$Q$1)</f>
        <v>NA</v>
      </c>
      <c r="Q11" s="31" t="str">
        <f ca="1">IF(OR(P11="NA",NOT(ISNUMBER(P11))),"NA",IF(P11&lt;$Q$2,"Expired",IF(P11&lt;$Q$3,"Warning","On time")))</f>
        <v>NA</v>
      </c>
      <c r="AE11" s="3"/>
    </row>
    <row r="12" ht="15.75" customHeight="1">
      <c r="A12" s="24">
        <v>7</v>
      </c>
      <c r="B12" s="24" t="s">
        <v>71</v>
      </c>
      <c r="C12" s="24" t="s">
        <v>72</v>
      </c>
      <c r="D12" s="24" t="s">
        <v>53</v>
      </c>
      <c r="E12" s="26" t="s">
        <v>34</v>
      </c>
      <c r="F12" s="27" t="s">
        <v>73</v>
      </c>
      <c r="G12" s="28">
        <v>30749</v>
      </c>
      <c r="H12" s="29">
        <v>46421</v>
      </c>
      <c r="I12" s="30">
        <f ca="1">H12-$I$1</f>
        <v>282</v>
      </c>
      <c r="J12" s="31" t="str">
        <f ca="1">IF(I12&lt;$I$2,"Expired",IF(I12&lt;=$I$3,"Warning","on time"))</f>
        <v>on time</v>
      </c>
      <c r="K12" s="49">
        <v>46650</v>
      </c>
      <c r="L12" s="24">
        <f ca="1">IF(OR(ISNUMBER(K12)=FALSE, ISNUMBER($M$1)=FALSE), "NA",K12-$M$1)</f>
        <v>511</v>
      </c>
      <c r="M12" s="20" t="str">
        <f ca="1">IF(OR(L12="NA",NOT(ISNUMBER(L12))),"NA",IF(L12&lt;$M$2,"Expired",IF(L12&lt;$M$3,"Warning","On time")))</f>
        <v>On time</v>
      </c>
      <c r="N12" s="50" t="s">
        <v>49</v>
      </c>
      <c r="O12" s="50" t="s">
        <v>49</v>
      </c>
      <c r="P12" s="35" t="str">
        <f ca="1">IF(OR(ISNUMBER(O12)=FALSE,ISNUMBER($Q$1)=FALSE), "NA",O12-$Q$1)</f>
        <v>NA</v>
      </c>
      <c r="Q12" s="31" t="str">
        <f ca="1">IF(OR(P12="NA",NOT(ISNUMBER(P12))),"NA",IF(P12&lt;$Q$2,"Expired",IF(P12&lt;$Q$3,"Warning","On time")))</f>
        <v>NA</v>
      </c>
      <c r="AE12" s="3"/>
    </row>
    <row r="13" ht="15.75" customHeight="1">
      <c r="A13" s="24">
        <v>8</v>
      </c>
      <c r="B13" s="24" t="s">
        <v>74</v>
      </c>
      <c r="C13" s="25" t="s">
        <v>75</v>
      </c>
      <c r="D13" s="24" t="s">
        <v>58</v>
      </c>
      <c r="E13" s="54" t="s">
        <v>76</v>
      </c>
      <c r="F13" s="27" t="s">
        <v>77</v>
      </c>
      <c r="G13" s="28">
        <v>33034</v>
      </c>
      <c r="H13" s="29">
        <v>46658</v>
      </c>
      <c r="I13" s="30">
        <f ca="1">H13-$I$1</f>
        <v>519</v>
      </c>
      <c r="J13" s="31" t="str">
        <f ca="1">IF(I13&lt;$I$2,"Expired",IF(I13&lt;=$I$3,"Warning","on time"))</f>
        <v>on time</v>
      </c>
      <c r="K13" s="55" t="s">
        <v>48</v>
      </c>
      <c r="L13" s="24" t="str">
        <f ca="1">IF(OR(ISNUMBER(K13)=FALSE, ISNUMBER($M$1)=FALSE), "NA",K13-$M$1)</f>
        <v>NA</v>
      </c>
      <c r="M13" s="20" t="str">
        <f ca="1">IF(OR(L13="NA",NOT(ISNUMBER(L13))),"NA",IF(L13&lt;$M$2,"Expired",IF(L13&lt;$M$3,"Warning","On time")))</f>
        <v>NA</v>
      </c>
      <c r="N13" s="50" t="s">
        <v>49</v>
      </c>
      <c r="O13" s="50" t="s">
        <v>49</v>
      </c>
      <c r="P13" s="35" t="str">
        <f ca="1">IF(OR(ISNUMBER(O13)=FALSE,ISNUMBER($Q$1)=FALSE), "NA",O13-$Q$1)</f>
        <v>NA</v>
      </c>
      <c r="Q13" s="31" t="str">
        <f ca="1">IF(OR(P13="NA",NOT(ISNUMBER(P13))),"NA",IF(P13&lt;$Q$2,"Expired",IF(P13&lt;$Q$3,"Warning","On time")))</f>
        <v>NA</v>
      </c>
      <c r="AE13" s="3"/>
    </row>
    <row r="14" ht="15.75" customHeight="1">
      <c r="A14" s="24">
        <v>9</v>
      </c>
      <c r="B14" s="24" t="s">
        <v>78</v>
      </c>
      <c r="C14" s="25" t="s">
        <v>79</v>
      </c>
      <c r="D14" s="24" t="s">
        <v>53</v>
      </c>
      <c r="E14" s="54" t="s">
        <v>76</v>
      </c>
      <c r="F14" s="27" t="s">
        <v>80</v>
      </c>
      <c r="G14" s="28">
        <v>37367</v>
      </c>
      <c r="H14" s="29">
        <v>46534</v>
      </c>
      <c r="I14" s="30">
        <f ca="1">H14-$I$1</f>
        <v>395</v>
      </c>
      <c r="J14" s="31" t="str">
        <f ca="1">IF(I14&lt;$I$2,"Expired",IF(I14&lt;=$I$3,"Warning","on time"))</f>
        <v>on time</v>
      </c>
      <c r="K14" s="49">
        <v>46619</v>
      </c>
      <c r="L14" s="24">
        <f ca="1">IF(OR(ISNUMBER(K14)=FALSE, ISNUMBER($M$1)=FALSE), "NA",K14-$M$1)</f>
        <v>480</v>
      </c>
      <c r="M14" s="20" t="str">
        <f ca="1">IF(OR(L14="NA",NOT(ISNUMBER(L14))),"NA",IF(L14&lt;$M$2,"Expired",IF(L14&lt;$M$3,"Warning","On time")))</f>
        <v>On time</v>
      </c>
      <c r="N14" s="50" t="s">
        <v>49</v>
      </c>
      <c r="O14" s="50" t="s">
        <v>49</v>
      </c>
      <c r="P14" s="35" t="str">
        <f ca="1">IF(OR(ISNUMBER(O14)=FALSE,ISNUMBER($Q$1)=FALSE), "NA",O14-$Q$1)</f>
        <v>NA</v>
      </c>
      <c r="Q14" s="31" t="str">
        <f ca="1">IF(OR(P14="NA",NOT(ISNUMBER(P14))),"NA",IF(P14&lt;$Q$2,"Expired",IF(P14&lt;$Q$3,"Warning","On time")))</f>
        <v>NA</v>
      </c>
      <c r="AE14" s="3"/>
    </row>
    <row r="15" ht="15" customHeight="1">
      <c r="A15" s="24">
        <v>10</v>
      </c>
      <c r="B15" s="24" t="s">
        <v>81</v>
      </c>
      <c r="C15" s="25" t="s">
        <v>82</v>
      </c>
      <c r="D15" s="24" t="s">
        <v>33</v>
      </c>
      <c r="E15" s="54" t="s">
        <v>76</v>
      </c>
      <c r="F15" s="27" t="s">
        <v>83</v>
      </c>
      <c r="G15" s="28">
        <v>34542</v>
      </c>
      <c r="H15" s="29">
        <v>46658</v>
      </c>
      <c r="I15" s="30">
        <f ca="1">H15-$I$1</f>
        <v>519</v>
      </c>
      <c r="J15" s="31" t="str">
        <f ca="1">IF(I15&lt;$I$2,"Expired",IF(I15&lt;=$I$3,"Warning","on time"))</f>
        <v>on time</v>
      </c>
      <c r="K15" s="49" t="s">
        <v>48</v>
      </c>
      <c r="L15" s="24" t="str">
        <f ca="1">IF(OR(ISNUMBER(K15)=FALSE, ISNUMBER($M$1)=FALSE), "NA",K15-$M$1)</f>
        <v>NA</v>
      </c>
      <c r="M15" s="20" t="str">
        <f ca="1">IF(OR(L15="NA",NOT(ISNUMBER(L15))),"NA",IF(L15&lt;$M$2,"Expired",IF(L15&lt;$M$3,"Warning","On time")))</f>
        <v>NA</v>
      </c>
      <c r="N15" s="50" t="s">
        <v>49</v>
      </c>
      <c r="O15" s="50" t="s">
        <v>49</v>
      </c>
      <c r="P15" s="35" t="str">
        <f ca="1">IF(OR(ISNUMBER(O15)=FALSE,ISNUMBER($Q$1)=FALSE), "NA",O15-$Q$1)</f>
        <v>NA</v>
      </c>
      <c r="Q15" s="31" t="str">
        <f ca="1">IF(OR(P15="NA",NOT(ISNUMBER(P15))),"NA",IF(P15&lt;$Q$2,"Expired",IF(P15&lt;$Q$3,"Warning","On time")))</f>
        <v>NA</v>
      </c>
      <c r="AE15" s="3"/>
    </row>
    <row r="16" ht="15.75" customHeight="1">
      <c r="A16" s="24">
        <v>11</v>
      </c>
      <c r="B16" s="24" t="s">
        <v>84</v>
      </c>
      <c r="C16" s="25" t="s">
        <v>85</v>
      </c>
      <c r="D16" s="24" t="s">
        <v>33</v>
      </c>
      <c r="E16" s="54" t="s">
        <v>76</v>
      </c>
      <c r="F16" s="27" t="s">
        <v>86</v>
      </c>
      <c r="G16" s="28">
        <v>33156</v>
      </c>
      <c r="H16" s="29">
        <v>46668</v>
      </c>
      <c r="I16" s="30">
        <f ca="1">H16-$I$1</f>
        <v>529</v>
      </c>
      <c r="J16" s="31" t="str">
        <f ca="1">IF(I16&lt;$I$2,"Expired",IF(I16&lt;=$I$3,"Warning","on time"))</f>
        <v>on time</v>
      </c>
      <c r="K16" s="55" t="s">
        <v>48</v>
      </c>
      <c r="L16" s="24" t="str">
        <f ca="1">IF(OR(ISNUMBER(K16)=FALSE, ISNUMBER($M$1)=FALSE), "NA",K16-$M$1)</f>
        <v>NA</v>
      </c>
      <c r="M16" s="20" t="str">
        <f ca="1">IF(OR(L16="NA",NOT(ISNUMBER(L16))),"NA",IF(L16&lt;$M$2,"Expired",IF(L16&lt;$M$3,"Warning","On time")))</f>
        <v>NA</v>
      </c>
      <c r="N16" s="50" t="s">
        <v>49</v>
      </c>
      <c r="O16" s="50" t="s">
        <v>49</v>
      </c>
      <c r="P16" s="35" t="str">
        <f ca="1">IF(OR(ISNUMBER(O16)=FALSE,ISNUMBER($Q$1)=FALSE), "NA",O16-$Q$1)</f>
        <v>NA</v>
      </c>
      <c r="Q16" s="31" t="str">
        <f ca="1">IF(OR(P16="NA",NOT(ISNUMBER(P16))),"NA",IF(P16&lt;$Q$2,"Expired",IF(P16&lt;$Q$3,"Warning","On time")))</f>
        <v>NA</v>
      </c>
      <c r="AE16" s="3"/>
    </row>
    <row r="17" ht="15.75" customHeight="1">
      <c r="A17" s="24">
        <v>12</v>
      </c>
      <c r="B17" s="24" t="s">
        <v>87</v>
      </c>
      <c r="C17" s="25" t="s">
        <v>88</v>
      </c>
      <c r="D17" s="24" t="s">
        <v>53</v>
      </c>
      <c r="E17" s="54" t="s">
        <v>76</v>
      </c>
      <c r="F17" s="27" t="s">
        <v>89</v>
      </c>
      <c r="G17" s="28">
        <v>34094</v>
      </c>
      <c r="H17" s="29">
        <v>46658</v>
      </c>
      <c r="I17" s="30">
        <f ca="1">H17-$I$1</f>
        <v>519</v>
      </c>
      <c r="J17" s="31" t="str">
        <f ca="1">IF(I17&lt;$I$2,"Expired",IF(I17&lt;=$I$3,"Warning","on time"))</f>
        <v>on time</v>
      </c>
      <c r="K17" s="49">
        <v>46004</v>
      </c>
      <c r="L17" s="24">
        <f ca="1">IF(OR(ISNUMBER(K17)=FALSE, ISNUMBER($M$1)=FALSE), "NA",K17-$M$1)</f>
        <v>-135</v>
      </c>
      <c r="M17" s="20" t="str">
        <f ca="1">IF(OR(L17="NA",NOT(ISNUMBER(L17))),"NA",IF(L17&lt;$M$2,"Expired",IF(L17&lt;$M$3,"Warning","On time")))</f>
        <v>Expired</v>
      </c>
      <c r="N17" s="50" t="s">
        <v>49</v>
      </c>
      <c r="O17" s="50" t="s">
        <v>49</v>
      </c>
      <c r="P17" s="35" t="str">
        <f ca="1">IF(OR(ISNUMBER(O17)=FALSE,ISNUMBER($Q$1)=FALSE), "NA",O17-$Q$1)</f>
        <v>NA</v>
      </c>
      <c r="Q17" s="31" t="str">
        <f ca="1">IF(OR(P17="NA",NOT(ISNUMBER(P17))),"NA",IF(P17&lt;$Q$2,"Expired",IF(P17&lt;$Q$3,"Warning","On time")))</f>
        <v>NA</v>
      </c>
      <c r="AE17" s="3"/>
    </row>
    <row r="18" ht="15.75" customHeight="1">
      <c r="A18" s="24">
        <v>13</v>
      </c>
      <c r="B18" s="24" t="s">
        <v>90</v>
      </c>
      <c r="C18" s="25" t="s">
        <v>91</v>
      </c>
      <c r="D18" s="24" t="s">
        <v>53</v>
      </c>
      <c r="E18" s="54" t="s">
        <v>76</v>
      </c>
      <c r="F18" s="27" t="s">
        <v>92</v>
      </c>
      <c r="G18" s="28">
        <v>37294</v>
      </c>
      <c r="H18" s="29">
        <v>46658</v>
      </c>
      <c r="I18" s="30">
        <f ca="1">H18-$I$1</f>
        <v>519</v>
      </c>
      <c r="J18" s="31" t="str">
        <f ca="1">IF(I18&lt;$I$2,"Expired",IF(I18&lt;=$I$3,"Warning","on time"))</f>
        <v>on time</v>
      </c>
      <c r="K18" s="49">
        <v>46736</v>
      </c>
      <c r="L18" s="24">
        <f ca="1">IF(OR(ISNUMBER(K18)=FALSE, ISNUMBER($M$1)=FALSE), "NA",K18-$M$1)</f>
        <v>597</v>
      </c>
      <c r="M18" s="20" t="str">
        <f ca="1">IF(OR(L18="NA",NOT(ISNUMBER(L18))),"NA",IF(L18&lt;$M$2,"Expired",IF(L18&lt;$M$3,"Warning","On time")))</f>
        <v>On time</v>
      </c>
      <c r="N18" s="50" t="s">
        <v>49</v>
      </c>
      <c r="O18" s="50" t="s">
        <v>49</v>
      </c>
      <c r="P18" s="35" t="str">
        <f ca="1">IF(OR(ISNUMBER(O18)=FALSE,ISNUMBER($Q$1)=FALSE), "NA",O18-$Q$1)</f>
        <v>NA</v>
      </c>
      <c r="Q18" s="31" t="str">
        <f ca="1">IF(OR(P18="NA",NOT(ISNUMBER(P18))),"NA",IF(P18&lt;$Q$2,"Expired",IF(P18&lt;$Q$3,"Warning","On time")))</f>
        <v>NA</v>
      </c>
      <c r="AE18" s="3"/>
    </row>
    <row r="19" ht="15.75" customHeight="1">
      <c r="A19" s="24">
        <v>14</v>
      </c>
      <c r="B19" s="24" t="s">
        <v>93</v>
      </c>
      <c r="C19" s="24" t="s">
        <v>94</v>
      </c>
      <c r="D19" s="24" t="s">
        <v>58</v>
      </c>
      <c r="E19" s="56" t="s">
        <v>95</v>
      </c>
      <c r="F19" s="27" t="s">
        <v>96</v>
      </c>
      <c r="G19" s="28">
        <v>30423</v>
      </c>
      <c r="H19" s="29">
        <v>46247</v>
      </c>
      <c r="I19" s="30">
        <f ca="1">H19-$I$1</f>
        <v>108</v>
      </c>
      <c r="J19" s="31" t="str">
        <f ca="1">IF(I19&lt;$I$2,"Expired",IF(I19&lt;=$I$3,"Warning","on time"))</f>
        <v>on time</v>
      </c>
      <c r="K19" s="57">
        <v>46210</v>
      </c>
      <c r="L19" s="24">
        <f ca="1">IF(OR(ISNUMBER(K19)=FALSE, ISNUMBER($M$1)=FALSE), "NA",K19-$M$1)</f>
        <v>71</v>
      </c>
      <c r="M19" s="20" t="str">
        <f ca="1">IF(OR(L19="NA",NOT(ISNUMBER(L19))),"NA",IF(L19&lt;$M$2,"Expired",IF(L19&lt;$M$3,"Warning","On time")))</f>
        <v>On time</v>
      </c>
      <c r="N19" s="35" t="s">
        <v>97</v>
      </c>
      <c r="O19" s="53">
        <v>46697</v>
      </c>
      <c r="P19" s="35">
        <f ca="1">IF(OR(ISNUMBER(O19)=FALSE,ISNUMBER($Q$1)=FALSE), "NA",O19-$Q$1)</f>
        <v>558</v>
      </c>
      <c r="Q19" s="31" t="str">
        <f ca="1">IF(OR(P19="NA",NOT(ISNUMBER(P19))),"NA",IF(P19&lt;$Q$2,"Expired",IF(P19&lt;$Q$3,"Warning","On time")))</f>
        <v>On time</v>
      </c>
      <c r="AE19" s="3"/>
    </row>
    <row r="20" ht="15" customHeight="1">
      <c r="A20" s="24">
        <v>15</v>
      </c>
      <c r="B20" s="24" t="s">
        <v>98</v>
      </c>
      <c r="C20" s="24" t="s">
        <v>99</v>
      </c>
      <c r="D20" s="24" t="s">
        <v>33</v>
      </c>
      <c r="E20" s="56" t="s">
        <v>95</v>
      </c>
      <c r="F20" s="27" t="s">
        <v>100</v>
      </c>
      <c r="G20" s="28">
        <v>31614</v>
      </c>
      <c r="H20" s="29">
        <v>46254</v>
      </c>
      <c r="I20" s="30">
        <f ca="1">H20-$I$1</f>
        <v>115</v>
      </c>
      <c r="J20" s="31" t="str">
        <f ca="1">IF(I20&lt;$I$2,"Expired",IF(I20&lt;=$I$3,"Warning","on time"))</f>
        <v>on time</v>
      </c>
      <c r="K20" s="58">
        <v>47053</v>
      </c>
      <c r="L20" s="24">
        <f ca="1">IF(OR(ISNUMBER(K20)=FALSE, ISNUMBER($M$1)=FALSE), "NA",K20-$M$1)</f>
        <v>914</v>
      </c>
      <c r="M20" s="20" t="str">
        <f ca="1">IF(OR(L20="NA",NOT(ISNUMBER(L20))),"NA",IF(L20&lt;$M$2,"Expired",IF(L20&lt;$M$3,"Warning","On time")))</f>
        <v>On time</v>
      </c>
      <c r="N20" s="59" t="s">
        <v>101</v>
      </c>
      <c r="O20" s="53">
        <v>46134</v>
      </c>
      <c r="P20" s="35">
        <f ca="1">IF(OR(ISNUMBER(O20)=FALSE,ISNUMBER($Q$1)=FALSE), "NA",O20-$Q$1)</f>
        <v>-5</v>
      </c>
      <c r="Q20" s="31" t="str">
        <f ca="1">IF(OR(P20="NA",NOT(ISNUMBER(P20))),"NA",IF(P20&lt;$Q$2,"Expired",IF(P20&lt;$Q$3,"Warning","On time")))</f>
        <v>Expired</v>
      </c>
      <c r="AE20" s="3"/>
    </row>
    <row r="21" ht="15.75" customHeight="1">
      <c r="A21" s="24">
        <v>16</v>
      </c>
      <c r="B21" s="24" t="s">
        <v>102</v>
      </c>
      <c r="C21" s="24" t="s">
        <v>103</v>
      </c>
      <c r="D21" s="24" t="s">
        <v>33</v>
      </c>
      <c r="E21" s="56" t="s">
        <v>95</v>
      </c>
      <c r="F21" s="27" t="s">
        <v>104</v>
      </c>
      <c r="G21" s="28">
        <v>34334</v>
      </c>
      <c r="H21" s="29">
        <v>46408</v>
      </c>
      <c r="I21" s="30">
        <f ca="1">H21-$I$1</f>
        <v>269</v>
      </c>
      <c r="J21" s="31" t="str">
        <f ca="1">IF(I21&lt;$I$2,"Expired",IF(I21&lt;=$I$3,"Warning","on time"))</f>
        <v>on time</v>
      </c>
      <c r="K21" s="60">
        <v>47466</v>
      </c>
      <c r="L21" s="24">
        <f ca="1">IF(OR(ISNUMBER(K21)=FALSE, ISNUMBER($M$1)=FALSE), "NA",K21-$M$1)</f>
        <v>1327</v>
      </c>
      <c r="M21" s="20" t="str">
        <f ca="1">IF(OR(L21="NA",NOT(ISNUMBER(L21))),"NA",IF(L21&lt;$M$2,"Expired",IF(L21&lt;$M$3,"Warning","On time")))</f>
        <v>On time</v>
      </c>
      <c r="N21" s="59" t="s">
        <v>105</v>
      </c>
      <c r="O21" s="53">
        <v>46426</v>
      </c>
      <c r="P21" s="35">
        <f ca="1">IF(OR(ISNUMBER(O21)=FALSE,ISNUMBER($Q$1)=FALSE), "NA",O21-$Q$1)</f>
        <v>287</v>
      </c>
      <c r="Q21" s="31" t="str">
        <f ca="1">IF(OR(P21="NA",NOT(ISNUMBER(P21))),"NA",IF(P21&lt;$Q$2,"Expired",IF(P21&lt;$Q$3,"Warning","On time")))</f>
        <v>On time</v>
      </c>
      <c r="AE21" s="3"/>
    </row>
    <row r="22" ht="15.75" customHeight="1">
      <c r="A22" s="24">
        <v>17</v>
      </c>
      <c r="B22" s="24" t="s">
        <v>106</v>
      </c>
      <c r="C22" s="24" t="s">
        <v>107</v>
      </c>
      <c r="D22" s="24" t="s">
        <v>58</v>
      </c>
      <c r="E22" s="56" t="s">
        <v>95</v>
      </c>
      <c r="F22" s="27" t="s">
        <v>108</v>
      </c>
      <c r="G22" s="28">
        <v>32973</v>
      </c>
      <c r="H22" s="29">
        <v>46724</v>
      </c>
      <c r="I22" s="30">
        <f ca="1">H22-$I$1</f>
        <v>585</v>
      </c>
      <c r="J22" s="31" t="str">
        <f ca="1">IF(I22&lt;$I$2,"Expired",IF(I22&lt;=$I$3,"Warning","on time"))</f>
        <v>on time</v>
      </c>
      <c r="K22" s="60">
        <v>47466</v>
      </c>
      <c r="L22" s="24">
        <f ca="1">IF(OR(ISNUMBER(K22)=FALSE, ISNUMBER($M$1)=FALSE), "NA",K22-$M$1)</f>
        <v>1327</v>
      </c>
      <c r="M22" s="20" t="str">
        <f ca="1">IF(OR(L22="NA",NOT(ISNUMBER(L22))),"NA",IF(L22&lt;$M$2,"Expired",IF(L22&lt;$M$3,"Warning","On time")))</f>
        <v>On time</v>
      </c>
      <c r="N22" s="59" t="s">
        <v>109</v>
      </c>
      <c r="O22" s="53">
        <v>46149</v>
      </c>
      <c r="P22" s="35">
        <f ca="1">IF(OR(ISNUMBER(O22)=FALSE,ISNUMBER($Q$1)=FALSE), "NA",O22-$Q$1)</f>
        <v>10</v>
      </c>
      <c r="Q22" s="31" t="str">
        <f ca="1">IF(OR(P22="NA",NOT(ISNUMBER(P22))),"NA",IF(P22&lt;$Q$2,"Expired",IF(P22&lt;$Q$3,"Warning","On time")))</f>
        <v>Expired</v>
      </c>
      <c r="AE22" s="3"/>
    </row>
    <row r="23" ht="14.25" customHeight="1">
      <c r="A23" s="24">
        <v>18</v>
      </c>
      <c r="B23" s="24" t="s">
        <v>110</v>
      </c>
      <c r="C23" s="24" t="s">
        <v>111</v>
      </c>
      <c r="D23" s="24" t="s">
        <v>58</v>
      </c>
      <c r="E23" s="56" t="s">
        <v>95</v>
      </c>
      <c r="F23" s="27" t="s">
        <v>112</v>
      </c>
      <c r="G23" s="28">
        <v>33670</v>
      </c>
      <c r="H23" s="29">
        <v>46316</v>
      </c>
      <c r="I23" s="30">
        <f ca="1">H23-$I$1</f>
        <v>177</v>
      </c>
      <c r="J23" s="31" t="str">
        <f ca="1">IF(I23&lt;$I$2,"Expired",IF(I23&lt;=$I$3,"Warning","on time"))</f>
        <v>on time</v>
      </c>
      <c r="K23" s="60" t="s">
        <v>48</v>
      </c>
      <c r="L23" s="24" t="str">
        <f ca="1">IF(OR(ISNUMBER(K23)=FALSE, ISNUMBER($M$1)=FALSE), "NA",K23-$M$1)</f>
        <v>NA</v>
      </c>
      <c r="M23" s="20" t="str">
        <f ca="1">IF(OR(L23="NA",NOT(ISNUMBER(L23))),"NA",IF(L23&lt;$M$2,"Expired",IF(L23&lt;$M$3,"Warning","On time")))</f>
        <v>NA</v>
      </c>
      <c r="N23" s="50" t="s">
        <v>49</v>
      </c>
      <c r="O23" s="50" t="s">
        <v>49</v>
      </c>
      <c r="P23" s="35" t="str">
        <f ca="1">IF(OR(ISNUMBER(O23)=FALSE,ISNUMBER($Q$1)=FALSE), "NA",O23-$Q$1)</f>
        <v>NA</v>
      </c>
      <c r="Q23" s="31" t="str">
        <f ca="1">IF(OR(P23="NA",NOT(ISNUMBER(P23))),"NA",IF(P23&lt;$Q$2,"Expired",IF(P23&lt;$Q$3,"Warning","On time")))</f>
        <v>NA</v>
      </c>
      <c r="AE23" s="3"/>
    </row>
    <row r="24" hidden="1" ht="15.75" customHeight="1">
      <c r="A24" s="24">
        <v>19</v>
      </c>
      <c r="B24" s="24"/>
      <c r="C24" s="24"/>
      <c r="D24" s="24"/>
      <c r="E24" s="56" t="s">
        <v>95</v>
      </c>
      <c r="F24" s="27"/>
      <c r="G24" s="24"/>
      <c r="H24" s="29"/>
      <c r="I24" s="30" t="s">
        <v>49</v>
      </c>
      <c r="J24" s="31" t="str">
        <f>IF(I24&lt;$I$2,"Expired",IF(I24&lt;=$I$3,"Warning","on time"))</f>
        <v>on time</v>
      </c>
      <c r="K24" s="57"/>
      <c r="L24" s="24" t="str">
        <f ca="1">IF(OR(ISNUMBER(K24)=FALSE, ISNUMBER($M$1)=FALSE), "NA",K24-$M$1)</f>
        <v>NA</v>
      </c>
      <c r="M24" s="20" t="str">
        <f ca="1">IF(OR(L24="NA",NOT(ISNUMBER(L24))),"NA",IF(L24&lt;$M$2,"Expired",IF(L24&lt;$M$3,"Warning","On time")))</f>
        <v>NA</v>
      </c>
      <c r="N24" s="50" t="s">
        <v>49</v>
      </c>
      <c r="O24" s="50" t="s">
        <v>49</v>
      </c>
      <c r="P24" s="35" t="str">
        <f ca="1">IF(OR(ISNUMBER(O24)=FALSE,ISNUMBER($Q$1)=FALSE), "NA",O24-$Q$1)</f>
        <v>NA</v>
      </c>
      <c r="Q24" s="31" t="str">
        <f ca="1">IF(OR(P24="NA",NOT(ISNUMBER(P24))),"NA",IF(P24&lt;$Q$2,"Expired",IF(P24&lt;$Q$3,"Warning","On time")))</f>
        <v>NA</v>
      </c>
      <c r="AE24" s="3"/>
    </row>
    <row r="25" ht="15.75" customHeight="1">
      <c r="A25" s="24">
        <v>20</v>
      </c>
      <c r="B25" s="24" t="s">
        <v>113</v>
      </c>
      <c r="C25" s="61" t="s">
        <v>114</v>
      </c>
      <c r="D25" s="24" t="s">
        <v>58</v>
      </c>
      <c r="E25" s="56" t="s">
        <v>95</v>
      </c>
      <c r="F25" s="27" t="s">
        <v>115</v>
      </c>
      <c r="G25" s="28">
        <v>28648</v>
      </c>
      <c r="H25" s="29">
        <v>46325</v>
      </c>
      <c r="I25" s="30">
        <f ca="1">H25-$I$1</f>
        <v>186</v>
      </c>
      <c r="J25" s="31" t="str">
        <f ca="1">IF(I25&lt;$I$2,"Expired",IF(I25&lt;=$I$3,"Warning","on time"))</f>
        <v>on time</v>
      </c>
      <c r="K25" s="60" t="s">
        <v>48</v>
      </c>
      <c r="L25" s="24" t="str">
        <f ca="1">IF(OR(ISNUMBER(K25)=FALSE, ISNUMBER($M$1)=FALSE), "NA",K25-$M$1)</f>
        <v>NA</v>
      </c>
      <c r="M25" s="20" t="str">
        <f ca="1">IF(OR(L25="NA",NOT(ISNUMBER(L25))),"NA",IF(L25&lt;$M$2,"Expired",IF(L25&lt;$M$3,"Warning","On time")))</f>
        <v>NA</v>
      </c>
      <c r="N25" s="50" t="s">
        <v>49</v>
      </c>
      <c r="O25" s="50" t="s">
        <v>49</v>
      </c>
      <c r="P25" s="35" t="str">
        <f ca="1">IF(OR(ISNUMBER(O25)=FALSE,ISNUMBER($Q$1)=FALSE), "NA",O25-$Q$1)</f>
        <v>NA</v>
      </c>
      <c r="Q25" s="31" t="str">
        <f ca="1">IF(OR(P25="NA",NOT(ISNUMBER(P25))),"NA",IF(P25&lt;$Q$2,"Expired",IF(P25&lt;$Q$3,"Warning","On time")))</f>
        <v>NA</v>
      </c>
      <c r="AE25" s="3"/>
    </row>
    <row r="26" ht="15" customHeight="1">
      <c r="A26" s="24">
        <v>21</v>
      </c>
      <c r="B26" s="24" t="s">
        <v>116</v>
      </c>
      <c r="C26" s="35" t="s">
        <v>117</v>
      </c>
      <c r="D26" s="24" t="s">
        <v>33</v>
      </c>
      <c r="E26" s="56" t="s">
        <v>95</v>
      </c>
      <c r="F26" s="27" t="s">
        <v>118</v>
      </c>
      <c r="G26" s="28">
        <v>32150</v>
      </c>
      <c r="H26" s="29">
        <v>46461</v>
      </c>
      <c r="I26" s="30">
        <f ca="1">H26-$I$1</f>
        <v>322</v>
      </c>
      <c r="J26" s="31" t="str">
        <f ca="1">IF(I26&lt;$I$2,"Expired",IF(I26&lt;=$I$3,"Warning","on time"))</f>
        <v>on time</v>
      </c>
      <c r="K26" s="60" t="s">
        <v>48</v>
      </c>
      <c r="L26" s="24" t="str">
        <f ca="1">IF(OR(ISNUMBER(K26)=FALSE, ISNUMBER($M$1)=FALSE), "NA",K26-$M$1)</f>
        <v>NA</v>
      </c>
      <c r="M26" s="20" t="str">
        <f ca="1">IF(OR(L26="NA",NOT(ISNUMBER(L26))),"NA",IF(L26&lt;$M$2,"Expired",IF(L26&lt;$M$3,"Warning","On time")))</f>
        <v>NA</v>
      </c>
      <c r="N26" s="35" t="s">
        <v>119</v>
      </c>
      <c r="O26" s="53">
        <v>46242</v>
      </c>
      <c r="P26" s="35">
        <f ca="1">IF(OR(ISNUMBER(O26)=FALSE,ISNUMBER($Q$1)=FALSE), "NA",O26-$Q$1)</f>
        <v>103</v>
      </c>
      <c r="Q26" s="31" t="str">
        <f ca="1">IF(OR(P26="NA",NOT(ISNUMBER(P26))),"NA",IF(P26&lt;$Q$2,"Expired",IF(P26&lt;$Q$3,"Warning","On time")))</f>
        <v>Warning</v>
      </c>
      <c r="AE26" s="3"/>
    </row>
    <row r="27" ht="15.75" customHeight="1">
      <c r="A27" s="24">
        <v>22</v>
      </c>
      <c r="B27" s="62" t="s">
        <v>120</v>
      </c>
      <c r="C27" s="24" t="s">
        <v>121</v>
      </c>
      <c r="D27" s="24" t="s">
        <v>33</v>
      </c>
      <c r="E27" s="56" t="s">
        <v>95</v>
      </c>
      <c r="F27" s="27" t="s">
        <v>122</v>
      </c>
      <c r="G27" s="28">
        <v>30324</v>
      </c>
      <c r="H27" s="29">
        <v>46466</v>
      </c>
      <c r="I27" s="30">
        <f ca="1">H27-$I$1</f>
        <v>327</v>
      </c>
      <c r="J27" s="31" t="str">
        <f ca="1">IF(I27&lt;$I$2,"Expired",IF(I27&lt;=$I$3,"Warning","on time"))</f>
        <v>on time</v>
      </c>
      <c r="K27" s="60" t="s">
        <v>48</v>
      </c>
      <c r="L27" s="24" t="str">
        <f ca="1">IF(OR(ISNUMBER(K27)=FALSE, ISNUMBER($M$1)=FALSE), "NA",K27-$M$1)</f>
        <v>NA</v>
      </c>
      <c r="M27" s="20" t="str">
        <f ca="1">IF(OR(L27="NA",NOT(ISNUMBER(L27))),"NA",IF(L27&lt;$M$2,"Expired",IF(L27&lt;$M$3,"Warning","On time")))</f>
        <v>NA</v>
      </c>
      <c r="N27" s="63" t="s">
        <v>123</v>
      </c>
      <c r="O27" s="53">
        <v>46620</v>
      </c>
      <c r="P27" s="35">
        <f ca="1">IF(OR(ISNUMBER(O27)=FALSE,ISNUMBER($Q$1)=FALSE), "NA",O27-$Q$1)</f>
        <v>481</v>
      </c>
      <c r="Q27" s="31" t="str">
        <f ca="1">IF(OR(P27="NA",NOT(ISNUMBER(P27))),"NA",IF(P27&lt;$Q$2,"Expired",IF(P27&lt;$Q$3,"Warning","On time")))</f>
        <v>On time</v>
      </c>
      <c r="AE27" s="3"/>
    </row>
    <row r="28" ht="15.75" customHeight="1">
      <c r="A28" s="24">
        <v>23</v>
      </c>
      <c r="B28" s="24" t="s">
        <v>124</v>
      </c>
      <c r="C28" s="24" t="s">
        <v>125</v>
      </c>
      <c r="D28" s="24" t="s">
        <v>53</v>
      </c>
      <c r="E28" s="56" t="s">
        <v>95</v>
      </c>
      <c r="F28" s="27" t="s">
        <v>126</v>
      </c>
      <c r="G28" s="28">
        <v>35910</v>
      </c>
      <c r="H28" s="29">
        <v>46278</v>
      </c>
      <c r="I28" s="30">
        <f ca="1">H28-$I$1</f>
        <v>139</v>
      </c>
      <c r="J28" s="31" t="str">
        <f ca="1">IF(I28&lt;$I$2,"Expired",IF(I28&lt;=$I$3,"Warning","on time"))</f>
        <v>on time</v>
      </c>
      <c r="K28" s="57">
        <v>46116</v>
      </c>
      <c r="L28" s="24">
        <f ca="1">IF(OR(ISNUMBER(K28)=FALSE, ISNUMBER($M$1)=FALSE), "NA",K28-$M$1)</f>
        <v>-23</v>
      </c>
      <c r="M28" s="20" t="str">
        <f ca="1">IF(OR(L28="NA",NOT(ISNUMBER(L28))),"NA",IF(L28&lt;$M$2,"Expired",IF(L28&lt;$M$3,"Warning","On time")))</f>
        <v>Expired</v>
      </c>
      <c r="N28" s="50" t="s">
        <v>49</v>
      </c>
      <c r="O28" s="50" t="s">
        <v>49</v>
      </c>
      <c r="P28" s="35" t="str">
        <f ca="1">IF(OR(ISNUMBER(O28)=FALSE,ISNUMBER($Q$1)=FALSE), "NA",O28-$Q$1)</f>
        <v>NA</v>
      </c>
      <c r="Q28" s="31" t="str">
        <f ca="1">IF(OR(P28="NA",NOT(ISNUMBER(P28))),"NA",IF(P28&lt;$Q$2,"Expired",IF(P28&lt;$Q$3,"Warning","On time")))</f>
        <v>NA</v>
      </c>
      <c r="AE28" s="3"/>
    </row>
    <row r="29" ht="15.75" customHeight="1">
      <c r="A29" s="24">
        <v>24</v>
      </c>
      <c r="B29" s="24" t="s">
        <v>127</v>
      </c>
      <c r="C29" s="25" t="s">
        <v>62</v>
      </c>
      <c r="D29" s="24" t="s">
        <v>58</v>
      </c>
      <c r="E29" s="56" t="s">
        <v>95</v>
      </c>
      <c r="F29" s="27" t="s">
        <v>61</v>
      </c>
      <c r="G29" s="28">
        <v>38018</v>
      </c>
      <c r="H29" s="29">
        <v>46596</v>
      </c>
      <c r="I29" s="30">
        <f ca="1">H29-$I$1</f>
        <v>457</v>
      </c>
      <c r="J29" s="31" t="str">
        <f ca="1">IF(I29&lt;$I$2,"Expired",IF(I29&lt;=$I$3,"Warning","on time"))</f>
        <v>on time</v>
      </c>
      <c r="K29" s="58">
        <v>46596</v>
      </c>
      <c r="L29" s="24">
        <f ca="1">IF(OR(ISNUMBER(K29)=FALSE, ISNUMBER($M$1)=FALSE), "NA",K29-$M$1)</f>
        <v>457</v>
      </c>
      <c r="M29" s="20" t="str">
        <f ca="1">IF(OR(L29="NA",NOT(ISNUMBER(L29))),"NA",IF(L29&lt;$M$2,"Expired",IF(L29&lt;$M$3,"Warning","On time")))</f>
        <v>On time</v>
      </c>
      <c r="N29" s="50" t="s">
        <v>49</v>
      </c>
      <c r="O29" s="50" t="s">
        <v>49</v>
      </c>
      <c r="P29" s="35" t="str">
        <f ca="1">IF(OR(ISNUMBER(O29)=FALSE,ISNUMBER($Q$1)=FALSE), "NA",O29-$Q$1)</f>
        <v>NA</v>
      </c>
      <c r="Q29" s="31" t="str">
        <f ca="1">IF(OR(P29="NA",NOT(ISNUMBER(P29))),"NA",IF(P29&lt;$Q$2,"Expired",IF(P29&lt;$Q$3,"Warning","On time")))</f>
        <v>NA</v>
      </c>
      <c r="AE29" s="3"/>
    </row>
    <row r="30" ht="15.75" customHeight="1">
      <c r="A30" s="24">
        <v>25</v>
      </c>
      <c r="B30" s="24" t="s">
        <v>128</v>
      </c>
      <c r="C30" s="64" t="s">
        <v>129</v>
      </c>
      <c r="D30" s="24" t="s">
        <v>58</v>
      </c>
      <c r="E30" s="56" t="s">
        <v>95</v>
      </c>
      <c r="F30" s="27" t="s">
        <v>130</v>
      </c>
      <c r="G30" s="28">
        <v>36485</v>
      </c>
      <c r="H30" s="29">
        <v>46588</v>
      </c>
      <c r="I30" s="30">
        <f ca="1">H30-$I$1</f>
        <v>449</v>
      </c>
      <c r="J30" s="31" t="str">
        <f ca="1">IF(I30&lt;$I$2,"Expired",IF(I30&lt;=$I$3,"Warning","on time"))</f>
        <v>on time</v>
      </c>
      <c r="K30" s="65" t="s">
        <v>48</v>
      </c>
      <c r="L30" s="24" t="str">
        <f ca="1">IF(OR(ISNUMBER(K30)=FALSE, ISNUMBER($M$1)=FALSE), "NA",K30-$M$1)</f>
        <v>NA</v>
      </c>
      <c r="M30" s="20" t="str">
        <f ca="1">IF(OR(L30="NA",NOT(ISNUMBER(L30))),"NA",IF(L30&lt;$M$2,"Expired",IF(L30&lt;$M$3,"Warning","On time")))</f>
        <v>NA</v>
      </c>
      <c r="N30" s="50" t="s">
        <v>49</v>
      </c>
      <c r="O30" s="50" t="s">
        <v>49</v>
      </c>
      <c r="P30" s="35" t="str">
        <f ca="1">IF(OR(ISNUMBER(O30)=FALSE,ISNUMBER($Q$1)=FALSE), "NA",O30-$Q$1)</f>
        <v>NA</v>
      </c>
      <c r="Q30" s="31" t="str">
        <f ca="1">IF(OR(P30="NA",NOT(ISNUMBER(P30))),"NA",IF(P30&lt;$Q$2,"Expired",IF(P30&lt;$Q$3,"Warning","On time")))</f>
        <v>NA</v>
      </c>
      <c r="AE30" s="3"/>
    </row>
    <row r="31" ht="15.75" customHeight="1">
      <c r="A31" s="24">
        <v>26</v>
      </c>
      <c r="B31" s="24" t="s">
        <v>131</v>
      </c>
      <c r="C31" s="25" t="s">
        <v>132</v>
      </c>
      <c r="D31" s="24" t="s">
        <v>58</v>
      </c>
      <c r="E31" s="56" t="s">
        <v>95</v>
      </c>
      <c r="F31" s="27" t="s">
        <v>133</v>
      </c>
      <c r="G31" s="66">
        <v>29670</v>
      </c>
      <c r="H31" s="29">
        <v>46122</v>
      </c>
      <c r="I31" s="30">
        <f ca="1">H31-$I$1</f>
        <v>-17</v>
      </c>
      <c r="J31" s="31" t="str">
        <f ca="1">IF(I31&lt;$I$2,"Expired",IF(I31&lt;=$I$3,"Warning","on time"))</f>
        <v>Expired</v>
      </c>
      <c r="K31" s="58">
        <v>47290</v>
      </c>
      <c r="L31" s="24">
        <f ca="1">IF(OR(ISNUMBER(K31)=FALSE, ISNUMBER($M$1)=FALSE), "NA",K31-$M$1)</f>
        <v>1151</v>
      </c>
      <c r="M31" s="20" t="str">
        <f ca="1">IF(OR(L31="NA",NOT(ISNUMBER(L31))),"NA",IF(L31&lt;$M$2,"Expired",IF(L31&lt;$M$3,"Warning","On time")))</f>
        <v>On time</v>
      </c>
      <c r="N31" s="35" t="s">
        <v>134</v>
      </c>
      <c r="O31" s="53">
        <v>46333</v>
      </c>
      <c r="P31" s="35">
        <f ca="1">IF(OR(ISNUMBER(O31)=FALSE,ISNUMBER($Q$1)=FALSE), "NA",O31-$Q$1)</f>
        <v>194</v>
      </c>
      <c r="Q31" s="31" t="str">
        <f ca="1">IF(OR(P31="NA",NOT(ISNUMBER(P31))),"NA",IF(P31&lt;$Q$2,"Expired",IF(P31&lt;$Q$3,"Warning","On time")))</f>
        <v>On time</v>
      </c>
    </row>
    <row r="32" ht="15.75" customHeight="1">
      <c r="A32" s="24">
        <v>27</v>
      </c>
      <c r="B32" s="24" t="s">
        <v>135</v>
      </c>
      <c r="C32" s="25" t="s">
        <v>136</v>
      </c>
      <c r="D32" s="24" t="s">
        <v>58</v>
      </c>
      <c r="E32" s="56" t="s">
        <v>95</v>
      </c>
      <c r="F32" s="27" t="s">
        <v>137</v>
      </c>
      <c r="G32" s="28">
        <v>33054</v>
      </c>
      <c r="H32" s="29">
        <v>46641</v>
      </c>
      <c r="I32" s="30">
        <f ca="1">H32-$I$1</f>
        <v>502</v>
      </c>
      <c r="J32" s="31" t="str">
        <f ca="1">IF(I32&lt;$I$2,"Expired",IF(I32&lt;=$I$3,"Warning","on time"))</f>
        <v>on time</v>
      </c>
      <c r="K32" s="49">
        <v>47561</v>
      </c>
      <c r="L32" s="24">
        <f ca="1">IF(OR(ISNUMBER(K32)=FALSE, ISNUMBER($M$1)=FALSE), "NA",K32-$M$1)</f>
        <v>1422</v>
      </c>
      <c r="M32" s="20" t="str">
        <f ca="1">IF(OR(L32="NA",NOT(ISNUMBER(L32))),"NA",IF(L32&lt;$M$2,"Expired",IF(L32&lt;$M$3,"Warning","On time")))</f>
        <v>On time</v>
      </c>
      <c r="N32" s="35" t="s">
        <v>45</v>
      </c>
      <c r="O32" s="53">
        <v>46719</v>
      </c>
      <c r="P32" s="35">
        <f ca="1">IF(OR(ISNUMBER(O32)=FALSE,ISNUMBER($Q$1)=FALSE), "NA",O32-$Q$1)</f>
        <v>580</v>
      </c>
      <c r="Q32" s="31" t="str">
        <f ca="1">IF(OR(P32="NA",NOT(ISNUMBER(P32))),"NA",IF(P32&lt;$Q$2,"Expired",IF(P32&lt;$Q$3,"Warning","On time")))</f>
        <v>On time</v>
      </c>
    </row>
    <row r="33" ht="15.75" customHeight="1">
      <c r="A33" s="24">
        <v>28</v>
      </c>
      <c r="B33" s="24" t="s">
        <v>138</v>
      </c>
      <c r="C33" s="25" t="s">
        <v>69</v>
      </c>
      <c r="D33" s="24" t="s">
        <v>33</v>
      </c>
      <c r="E33" s="56" t="s">
        <v>95</v>
      </c>
      <c r="F33" s="27" t="s">
        <v>68</v>
      </c>
      <c r="G33" s="28">
        <v>33562</v>
      </c>
      <c r="H33" s="29">
        <v>46641</v>
      </c>
      <c r="I33" s="30">
        <f ca="1">H33-$I$1</f>
        <v>502</v>
      </c>
      <c r="J33" s="31" t="str">
        <f ca="1">IF(I33&lt;$I$2,"Expired",IF(I33&lt;=$I$3,"Warning","on time"))</f>
        <v>on time</v>
      </c>
      <c r="K33" s="58">
        <v>46716</v>
      </c>
      <c r="L33" s="24">
        <f ca="1">IF(OR(ISNUMBER(K33)=FALSE, ISNUMBER($M$1)=FALSE), "NA",K33-$M$1)</f>
        <v>577</v>
      </c>
      <c r="M33" s="20" t="str">
        <f ca="1">IF(OR(L33="NA",NOT(ISNUMBER(L33))),"NA",IF(L33&lt;$M$2,"Expired",IF(L33&lt;$M$3,"Warning","On time")))</f>
        <v>On time</v>
      </c>
      <c r="N33" s="50" t="s">
        <v>49</v>
      </c>
      <c r="O33" s="50" t="s">
        <v>49</v>
      </c>
      <c r="P33" s="35" t="str">
        <f ca="1">IF(OR(ISNUMBER(O33)=FALSE,ISNUMBER($Q$1)=FALSE), "NA",O33-$Q$1)</f>
        <v>NA</v>
      </c>
      <c r="Q33" s="31" t="str">
        <f ca="1">IF(OR(P33="NA",NOT(ISNUMBER(P33))),"NA",IF(P33&lt;$Q$2,"Expired",IF(P33&lt;$Q$3,"Warning","On time")))</f>
        <v>NA</v>
      </c>
    </row>
    <row r="34" s="1" customFormat="1" ht="15.75" customHeight="1">
      <c r="A34" s="67">
        <v>29</v>
      </c>
      <c r="B34" s="67" t="s">
        <v>139</v>
      </c>
      <c r="C34" s="67" t="s">
        <v>140</v>
      </c>
      <c r="D34" s="67" t="s">
        <v>58</v>
      </c>
      <c r="E34" s="68" t="s">
        <v>95</v>
      </c>
      <c r="F34" s="69" t="s">
        <v>141</v>
      </c>
      <c r="G34" s="70">
        <v>31581</v>
      </c>
      <c r="H34" s="71">
        <v>46086</v>
      </c>
      <c r="I34" s="72">
        <f ca="1">H34-$I$1</f>
        <v>-53</v>
      </c>
      <c r="J34" s="73" t="str">
        <f ca="1">IF(I34&lt;$I$2,"Expired",IF(I34&lt;=$I$3,"Warning","on time"))</f>
        <v>Expired</v>
      </c>
      <c r="K34" s="74">
        <v>46830</v>
      </c>
      <c r="L34" s="67">
        <f ca="1">IF(OR(ISNUMBER(K34)=FALSE, ISNUMBER($M$1)=FALSE), "NA",K34-$M$1)</f>
        <v>691</v>
      </c>
      <c r="M34" s="75" t="str">
        <f ca="1">IF(OR(L34="NA",NOT(ISNUMBER(L34))),"NA",IF(L34&lt;$M$2,"Expired",IF(L34&lt;$M$3,"Warning","On time")))</f>
        <v>On time</v>
      </c>
      <c r="N34" s="76" t="s">
        <v>49</v>
      </c>
      <c r="O34" s="76" t="s">
        <v>49</v>
      </c>
      <c r="P34" s="77" t="str">
        <f ca="1">IF(OR(ISNUMBER(O34)=FALSE,ISNUMBER($Q$1)=FALSE), "NA",O34-$Q$1)</f>
        <v>NA</v>
      </c>
      <c r="Q34" s="73" t="str">
        <f ca="1">IF(OR(P34="NA",NOT(ISNUMBER(P34))),"NA",IF(P34&lt;$Q$2,"Expired",IF(P34&lt;$Q$3,"Warning","On time")))</f>
        <v>NA</v>
      </c>
    </row>
    <row r="35" ht="15.75" customHeight="1">
      <c r="A35" s="24">
        <v>30</v>
      </c>
      <c r="B35" s="24" t="s">
        <v>142</v>
      </c>
      <c r="C35" s="25" t="s">
        <v>143</v>
      </c>
      <c r="D35" s="24" t="s">
        <v>58</v>
      </c>
      <c r="E35" s="56" t="s">
        <v>95</v>
      </c>
      <c r="F35" s="27" t="s">
        <v>144</v>
      </c>
      <c r="G35" s="28">
        <v>36951</v>
      </c>
      <c r="H35" s="29">
        <v>46228</v>
      </c>
      <c r="I35" s="30">
        <f ca="1">H35-$I$1</f>
        <v>89</v>
      </c>
      <c r="J35" s="31" t="str">
        <f ca="1">IF(I35&lt;$I$2,"Expired",IF(I35&lt;=$I$3,"Warning","on time"))</f>
        <v>on time</v>
      </c>
      <c r="K35" s="58">
        <v>46235</v>
      </c>
      <c r="L35" s="24">
        <f ca="1">IF(OR(ISNUMBER(K35)=FALSE, ISNUMBER($M$1)=FALSE), "NA",K35-$M$1)</f>
        <v>96</v>
      </c>
      <c r="M35" s="20" t="str">
        <f ca="1">IF(OR(L35="NA",NOT(ISNUMBER(L35))),"NA",IF(L35&lt;$M$2,"Expired",IF(L35&lt;$M$3,"Warning","On time")))</f>
        <v>On time</v>
      </c>
      <c r="N35" s="50" t="s">
        <v>49</v>
      </c>
      <c r="O35" s="50" t="s">
        <v>49</v>
      </c>
      <c r="P35" s="35" t="str">
        <f ca="1">IF(OR(ISNUMBER(O35)=FALSE,ISNUMBER($Q$1)=FALSE), "NA",O35-$Q$1)</f>
        <v>NA</v>
      </c>
      <c r="Q35" s="31" t="str">
        <f ca="1">IF(OR(P35="NA",NOT(ISNUMBER(P35))),"NA",IF(P35&lt;$Q$2,"Expired",IF(P35&lt;$Q$3,"Warning","On time")))</f>
        <v>NA</v>
      </c>
    </row>
    <row r="36" ht="15.75" customHeight="1">
      <c r="A36" s="24">
        <v>31</v>
      </c>
      <c r="B36" s="24" t="s">
        <v>145</v>
      </c>
      <c r="C36" s="25" t="s">
        <v>121</v>
      </c>
      <c r="D36" s="24" t="s">
        <v>33</v>
      </c>
      <c r="E36" s="56" t="s">
        <v>95</v>
      </c>
      <c r="F36" s="27" t="s">
        <v>146</v>
      </c>
      <c r="G36" s="28">
        <v>37209</v>
      </c>
      <c r="H36" s="29">
        <v>46221</v>
      </c>
      <c r="I36" s="30">
        <f ca="1">H36-$I$1</f>
        <v>82</v>
      </c>
      <c r="J36" s="24" t="str">
        <f ca="1">IF(I36&lt;$I$2,"Expired",IF(I36&lt;=$I$3,"Warning","on time"))</f>
        <v>on time</v>
      </c>
      <c r="K36" s="49" t="s">
        <v>48</v>
      </c>
      <c r="L36" s="24" t="str">
        <f ca="1">IF(OR(ISNUMBER(K36)=FALSE, ISNUMBER($M$1)=FALSE), "NA",K36-$M$1)</f>
        <v>NA</v>
      </c>
      <c r="M36" s="20" t="str">
        <f ca="1">IF(OR(L36="NA",NOT(ISNUMBER(L36))),"NA",IF(L36&lt;$M$2,"Expired",IF(L36&lt;$M$3,"Warning","On time")))</f>
        <v>NA</v>
      </c>
      <c r="N36" s="50" t="s">
        <v>49</v>
      </c>
      <c r="O36" s="50" t="s">
        <v>49</v>
      </c>
      <c r="P36" s="35" t="str">
        <f ca="1">IF(OR(ISNUMBER(O36)=FALSE,ISNUMBER($Q$1)=FALSE), "NA",O36-$Q$1)</f>
        <v>NA</v>
      </c>
      <c r="Q36" s="31" t="str">
        <f ca="1">IF(OR(P36="NA",NOT(ISNUMBER(P36))),"NA",IF(P36&lt;$Q$2,"Expired",IF(P36&lt;$Q$3,"Warning","On time")))</f>
        <v>NA</v>
      </c>
    </row>
    <row r="37" ht="15.75" customHeight="1">
      <c r="A37" s="24">
        <v>32</v>
      </c>
      <c r="B37" s="24" t="s">
        <v>147</v>
      </c>
      <c r="C37" s="64" t="s">
        <v>148</v>
      </c>
      <c r="D37" s="24" t="s">
        <v>33</v>
      </c>
      <c r="E37" s="56" t="s">
        <v>95</v>
      </c>
      <c r="F37" s="27" t="s">
        <v>149</v>
      </c>
      <c r="G37" s="66">
        <v>37787</v>
      </c>
      <c r="H37" s="57">
        <v>46231</v>
      </c>
      <c r="I37" s="30">
        <f ca="1">H37-$I$1</f>
        <v>92</v>
      </c>
      <c r="J37" s="24" t="str">
        <f ca="1">IF(I37&lt;$I$2,"Expired",IF(I37&lt;=$I$3,"Warning","on time"))</f>
        <v>on time</v>
      </c>
      <c r="K37" s="78">
        <v>46482</v>
      </c>
      <c r="L37" s="24">
        <f ca="1">IF(OR(ISNUMBER(K37)=FALSE, ISNUMBER($M$1)=FALSE), "NA",K37-$M$1)</f>
        <v>343</v>
      </c>
      <c r="M37" s="20" t="str">
        <f ca="1">IF(OR(L37="NA",NOT(ISNUMBER(L37))),"NA",IF(L37&lt;$M$2,"Expired",IF(L37&lt;$M$3,"Warning","On time")))</f>
        <v>On time</v>
      </c>
      <c r="N37" s="79" t="s">
        <v>49</v>
      </c>
      <c r="O37" s="50" t="s">
        <v>49</v>
      </c>
      <c r="P37" s="35" t="str">
        <f ca="1">IF(OR(ISNUMBER(O37)=FALSE,ISNUMBER($Q$1)=FALSE), "NA",O37-$Q$1)</f>
        <v>NA</v>
      </c>
      <c r="Q37" s="31" t="str">
        <f ca="1">IF(OR(P37="NA",NOT(ISNUMBER(P37))),"NA",IF(P37&lt;$Q$2,"Expired",IF(P37&lt;$Q$3,"Warning","On time")))</f>
        <v>NA</v>
      </c>
    </row>
    <row r="38" ht="15.75" customHeight="1">
      <c r="A38" s="24">
        <v>33</v>
      </c>
      <c r="B38" s="24" t="s">
        <v>150</v>
      </c>
      <c r="C38" s="64" t="s">
        <v>151</v>
      </c>
      <c r="D38" s="24" t="s">
        <v>33</v>
      </c>
      <c r="E38" s="56" t="s">
        <v>95</v>
      </c>
      <c r="F38" s="27" t="s">
        <v>152</v>
      </c>
      <c r="G38" s="66">
        <v>33086</v>
      </c>
      <c r="H38" s="57">
        <v>46312</v>
      </c>
      <c r="I38" s="30">
        <f ca="1">H38-$I$1</f>
        <v>173</v>
      </c>
      <c r="J38" s="24" t="str">
        <f ca="1">IF(I38&lt;$I$2,"Expired",IF(I38&lt;=$I$3,"Warning","on time"))</f>
        <v>on time</v>
      </c>
      <c r="K38" s="49" t="s">
        <v>48</v>
      </c>
      <c r="L38" s="24" t="str">
        <f ca="1">IF(OR(ISNUMBER(K38)=FALSE, ISNUMBER($M$1)=FALSE), "NA",K38-$M$1)</f>
        <v>NA</v>
      </c>
      <c r="M38" s="20" t="str">
        <f ca="1">IF(OR(L38="NA",NOT(ISNUMBER(L38))),"NA",IF(L38&lt;$M$2,"Expired",IF(L38&lt;$M$3,"Warning","On time")))</f>
        <v>NA</v>
      </c>
      <c r="N38" s="50" t="s">
        <v>153</v>
      </c>
      <c r="O38" s="53">
        <v>46658</v>
      </c>
      <c r="P38" s="35">
        <f ca="1">IF(OR(ISNUMBER(O38)=FALSE,ISNUMBER($Q$1)=FALSE), "NA",O38-$Q$1)</f>
        <v>519</v>
      </c>
      <c r="Q38" s="31" t="str">
        <f ca="1">IF(OR(P38="NA",NOT(ISNUMBER(P38))),"NA",IF(P38&lt;$Q$2,"Expired",IF(P38&lt;$Q$3,"Warning","On time")))</f>
        <v>On time</v>
      </c>
    </row>
    <row r="39" ht="15.75" customHeight="1">
      <c r="A39" s="24">
        <v>34</v>
      </c>
      <c r="B39" s="24" t="s">
        <v>154</v>
      </c>
      <c r="C39" s="25" t="s">
        <v>155</v>
      </c>
      <c r="D39" s="24" t="s">
        <v>33</v>
      </c>
      <c r="E39" s="56" t="s">
        <v>95</v>
      </c>
      <c r="F39" s="27" t="s">
        <v>156</v>
      </c>
      <c r="G39" s="66">
        <v>31132</v>
      </c>
      <c r="H39" s="57">
        <v>46450</v>
      </c>
      <c r="I39" s="30">
        <f ca="1">H39-$I$1</f>
        <v>311</v>
      </c>
      <c r="J39" s="24" t="str">
        <f ca="1">IF(I39&lt;$I$2,"Expired",IF(I39&lt;=$I$3,"Warning","on time"))</f>
        <v>on time</v>
      </c>
      <c r="K39" s="49" t="s">
        <v>48</v>
      </c>
      <c r="L39" s="24" t="str">
        <f ca="1">IF(OR(ISNUMBER(K39)=FALSE, ISNUMBER($M$1)=FALSE), "NA",K39-$M$1)</f>
        <v>NA</v>
      </c>
      <c r="M39" s="20" t="str">
        <f ca="1">IF(OR(L39="NA",NOT(ISNUMBER(L39))),"NA",IF(L39&lt;$M$2,"Expired",IF(L39&lt;$M$3,"Warning","On time")))</f>
        <v>NA</v>
      </c>
      <c r="N39" s="35" t="s">
        <v>157</v>
      </c>
      <c r="O39" s="53">
        <v>46618</v>
      </c>
      <c r="P39" s="35">
        <f ca="1">IF(OR(ISNUMBER(O39)=FALSE,ISNUMBER($Q$1)=FALSE), "NA",O39-$Q$1)</f>
        <v>479</v>
      </c>
      <c r="Q39" s="31" t="str">
        <f ca="1">IF(OR(P39="NA",NOT(ISNUMBER(P39))),"NA",IF(P39&lt;$Q$2,"Expired",IF(P39&lt;$Q$3,"Warning","On time")))</f>
        <v>On time</v>
      </c>
    </row>
    <row r="40" ht="15.75" customHeight="1">
      <c r="A40" s="24">
        <v>35</v>
      </c>
      <c r="B40" s="24" t="s">
        <v>158</v>
      </c>
      <c r="C40" s="25" t="s">
        <v>159</v>
      </c>
      <c r="D40" s="24" t="s">
        <v>53</v>
      </c>
      <c r="E40" s="56" t="s">
        <v>95</v>
      </c>
      <c r="F40" s="27" t="s">
        <v>55</v>
      </c>
      <c r="G40" s="66">
        <v>34219</v>
      </c>
      <c r="H40" s="57">
        <v>46158</v>
      </c>
      <c r="I40" s="30">
        <f ca="1">H40-$I$1</f>
        <v>19</v>
      </c>
      <c r="J40" s="24" t="str">
        <f ca="1">IF(I40&lt;$I$2,"Expired",IF(I40&lt;=$I$3,"Warning","on time"))</f>
        <v>Warning</v>
      </c>
      <c r="K40" s="80" t="s">
        <v>48</v>
      </c>
      <c r="L40" s="24" t="str">
        <f ca="1">IF(OR(ISNUMBER(K40)=FALSE, ISNUMBER($M$1)=FALSE), "NA",K40-$M$1)</f>
        <v>NA</v>
      </c>
      <c r="M40" s="20" t="str">
        <f ca="1">IF(OR(L40="NA",NOT(ISNUMBER(L40))),"NA",IF(L40&lt;$M$2,"Expired",IF(L40&lt;$M$3,"Warning","On time")))</f>
        <v>NA</v>
      </c>
      <c r="N40" s="50" t="s">
        <v>49</v>
      </c>
      <c r="O40" s="50" t="s">
        <v>49</v>
      </c>
      <c r="P40" s="35" t="str">
        <f ca="1">IF(OR(ISNUMBER(O40)=FALSE,ISNUMBER($Q$1)=FALSE), "NA",O40-$Q$1)</f>
        <v>NA</v>
      </c>
      <c r="Q40" s="31" t="str">
        <f ca="1">IF(OR(P40="NA",NOT(ISNUMBER(P40))),"NA",IF(P40&lt;$Q$2,"Expired",IF(P40&lt;$Q$3,"Warning","On time")))</f>
        <v>NA</v>
      </c>
    </row>
    <row r="41" ht="15.75" customHeight="1">
      <c r="A41" s="24">
        <v>36</v>
      </c>
      <c r="B41" s="24" t="s">
        <v>160</v>
      </c>
      <c r="C41" s="25" t="s">
        <v>161</v>
      </c>
      <c r="D41" s="24" t="s">
        <v>53</v>
      </c>
      <c r="E41" s="56" t="s">
        <v>95</v>
      </c>
      <c r="F41" s="27" t="s">
        <v>40</v>
      </c>
      <c r="G41" s="66">
        <v>34517</v>
      </c>
      <c r="H41" s="57">
        <v>46218</v>
      </c>
      <c r="I41" s="30">
        <f ca="1">H41-$I$1</f>
        <v>79</v>
      </c>
      <c r="J41" s="24" t="str">
        <f ca="1">IF(I41&lt;$I$2,"Expired",IF(I41&lt;=$I$3,"Warning","on time"))</f>
        <v>on time</v>
      </c>
      <c r="K41" s="49" t="s">
        <v>48</v>
      </c>
      <c r="L41" s="24" t="str">
        <f ca="1">IF(OR(ISNUMBER(K41)=FALSE, ISNUMBER($M$1)=FALSE), "NA",K41-$M$1)</f>
        <v>NA</v>
      </c>
      <c r="M41" s="20" t="str">
        <f ca="1">IF(OR(L41="NA",NOT(ISNUMBER(L41))),"NA",IF(L41&lt;$M$2,"Expired",IF(L41&lt;$M$3,"Warning","On time")))</f>
        <v>NA</v>
      </c>
      <c r="N41" s="50" t="s">
        <v>49</v>
      </c>
      <c r="O41" s="50" t="s">
        <v>49</v>
      </c>
      <c r="P41" s="35" t="str">
        <f ca="1">IF(OR(ISNUMBER(O41)=FALSE,ISNUMBER($Q$1)=FALSE), "NA",O41-$Q$1)</f>
        <v>NA</v>
      </c>
      <c r="Q41" s="31" t="str">
        <f ca="1">IF(OR(P41="NA",NOT(ISNUMBER(P41))),"NA",IF(P41&lt;$Q$2,"Expired",IF(P41&lt;$Q$3,"Warning","On time")))</f>
        <v>NA</v>
      </c>
    </row>
    <row r="42" ht="15.75" customHeight="1">
      <c r="A42" s="24">
        <v>37</v>
      </c>
      <c r="B42" s="24" t="s">
        <v>162</v>
      </c>
      <c r="C42" s="25" t="s">
        <v>163</v>
      </c>
      <c r="D42" s="24" t="s">
        <v>53</v>
      </c>
      <c r="E42" s="56" t="s">
        <v>95</v>
      </c>
      <c r="F42" s="27" t="s">
        <v>50</v>
      </c>
      <c r="G42" s="66">
        <v>34274</v>
      </c>
      <c r="H42" s="57">
        <v>46397</v>
      </c>
      <c r="I42" s="30">
        <f ca="1">H42-$I$1</f>
        <v>258</v>
      </c>
      <c r="J42" s="24" t="str">
        <f ca="1">IF(I42&lt;$I$2,"Expired",IF(I42&lt;=$I$3,"Warning","on time"))</f>
        <v>on time</v>
      </c>
      <c r="K42" s="49" t="s">
        <v>48</v>
      </c>
      <c r="L42" s="24" t="str">
        <f ca="1">IF(OR(ISNUMBER(K42)=FALSE, ISNUMBER($M$1)=FALSE), "NA",K42-$M$1)</f>
        <v>NA</v>
      </c>
      <c r="M42" s="20" t="str">
        <f ca="1">IF(OR(L42="NA",NOT(ISNUMBER(L42))),"NA",IF(L42&lt;$M$2,"Expired",IF(L42&lt;$M$3,"Warning","On time")))</f>
        <v>NA</v>
      </c>
      <c r="N42" s="50" t="s">
        <v>49</v>
      </c>
      <c r="O42" s="50" t="s">
        <v>49</v>
      </c>
      <c r="P42" s="35" t="str">
        <f ca="1">IF(OR(ISNUMBER(O42)=FALSE,ISNUMBER($Q$1)=FALSE), "NA",O42-$Q$1)</f>
        <v>NA</v>
      </c>
      <c r="Q42" s="31" t="str">
        <f ca="1">IF(OR(P42="NA",NOT(ISNUMBER(P42))),"NA",IF(P42&lt;$Q$2,"Expired",IF(P42&lt;$Q$3,"Warning","On time")))</f>
        <v>NA</v>
      </c>
    </row>
    <row r="43" ht="15.75" customHeight="1">
      <c r="A43" s="24">
        <v>38</v>
      </c>
      <c r="B43" s="24" t="s">
        <v>164</v>
      </c>
      <c r="C43" s="25" t="s">
        <v>165</v>
      </c>
      <c r="D43" s="24" t="s">
        <v>58</v>
      </c>
      <c r="E43" s="56" t="s">
        <v>95</v>
      </c>
      <c r="F43" s="27" t="s">
        <v>166</v>
      </c>
      <c r="G43" s="66">
        <v>35226</v>
      </c>
      <c r="H43" s="57">
        <v>46500</v>
      </c>
      <c r="I43" s="30">
        <f ca="1">H43-$I$1</f>
        <v>361</v>
      </c>
      <c r="J43" s="24" t="str">
        <f ca="1">IF(I43&lt;$I$2,"Expired",IF(I43&lt;=$I$3,"Warning","on time"))</f>
        <v>on time</v>
      </c>
      <c r="K43" s="49">
        <v>46509</v>
      </c>
      <c r="L43" s="24">
        <f ca="1">IF(OR(ISNUMBER(K43)=FALSE, ISNUMBER($M$1)=FALSE), "NA",K43-$M$1)</f>
        <v>370</v>
      </c>
      <c r="M43" s="20" t="str">
        <f ca="1">IF(OR(L43="NA",NOT(ISNUMBER(L43))),"NA",IF(L43&lt;$M$2,"Expired",IF(L43&lt;$M$3,"Warning","On time")))</f>
        <v>On time</v>
      </c>
      <c r="N43" s="50" t="s">
        <v>49</v>
      </c>
      <c r="O43" s="50" t="s">
        <v>49</v>
      </c>
      <c r="P43" s="35" t="str">
        <f ca="1">IF(OR(ISNUMBER(O43)=FALSE,ISNUMBER($Q$1)=FALSE), "NA",O43-$Q$1)</f>
        <v>NA</v>
      </c>
      <c r="Q43" s="31" t="str">
        <f ca="1">IF(OR(P43="NA",NOT(ISNUMBER(P43))),"NA",IF(P43&lt;$Q$2,"Expired",IF(P43&lt;$Q$3,"Warning","On time")))</f>
        <v>NA</v>
      </c>
    </row>
    <row r="44" ht="15.75" customHeight="1">
      <c r="A44" s="24">
        <v>39</v>
      </c>
      <c r="B44" s="24" t="s">
        <v>167</v>
      </c>
      <c r="C44" s="25" t="s">
        <v>168</v>
      </c>
      <c r="D44" s="24" t="s">
        <v>33</v>
      </c>
      <c r="E44" s="56" t="s">
        <v>95</v>
      </c>
      <c r="F44" s="27" t="s">
        <v>169</v>
      </c>
      <c r="G44" s="66">
        <v>33209</v>
      </c>
      <c r="H44" s="57">
        <v>46234</v>
      </c>
      <c r="I44" s="30">
        <f ca="1">H44-$I$1</f>
        <v>95</v>
      </c>
      <c r="J44" s="24" t="str">
        <f ca="1">IF(I44&lt;$I$2,"Expired",IF(I44&lt;=$I$3,"Warning","on time"))</f>
        <v>on time</v>
      </c>
      <c r="K44" s="49">
        <v>47440</v>
      </c>
      <c r="L44" s="24">
        <f ca="1">IF(OR(ISNUMBER(K44)=FALSE, ISNUMBER($M$1)=FALSE), "NA",K44-$M$1)</f>
        <v>1301</v>
      </c>
      <c r="M44" s="20" t="str">
        <f ca="1">IF(OR(L44="NA",NOT(ISNUMBER(L44))),"NA",IF(L44&lt;$M$2,"Expired",IF(L44&lt;$M$3,"Warning","On time")))</f>
        <v>On time</v>
      </c>
      <c r="N44" s="24" t="s">
        <v>170</v>
      </c>
      <c r="O44" s="81">
        <v>46567</v>
      </c>
      <c r="P44" s="35">
        <f ca="1">IF(OR(ISNUMBER(O44)=FALSE,ISNUMBER($Q$1)=FALSE), "NA",O44-$Q$1)</f>
        <v>428</v>
      </c>
      <c r="Q44" s="31" t="str">
        <f ca="1">IF(OR(P44="NA",NOT(ISNUMBER(P44))),"NA",IF(P44&lt;$Q$2,"Expired",IF(P44&lt;$Q$3,"Warning","On time")))</f>
        <v>On time</v>
      </c>
    </row>
    <row r="45" ht="15.75" customHeight="1">
      <c r="A45" s="24">
        <v>40</v>
      </c>
      <c r="B45" s="24" t="s">
        <v>171</v>
      </c>
      <c r="C45" s="25" t="s">
        <v>172</v>
      </c>
      <c r="D45" s="24" t="s">
        <v>173</v>
      </c>
      <c r="E45" s="56" t="s">
        <v>95</v>
      </c>
      <c r="F45" s="27" t="s">
        <v>63</v>
      </c>
      <c r="G45" s="66">
        <v>34920</v>
      </c>
      <c r="H45" s="57">
        <v>46503</v>
      </c>
      <c r="I45" s="30">
        <f ca="1">H45-$I$1</f>
        <v>364</v>
      </c>
      <c r="J45" s="24" t="str">
        <f ca="1">IF(I45&lt;$I$2,"Expired",IF(I45&lt;=$I$3,"Warning","on time"))</f>
        <v>on time</v>
      </c>
      <c r="K45" s="80">
        <v>46628</v>
      </c>
      <c r="L45" s="24">
        <f ca="1">IF(OR(ISNUMBER(K45)=FALSE, ISNUMBER($M$1)=FALSE), "NA",K45-$M$1)</f>
        <v>489</v>
      </c>
      <c r="M45" s="20" t="str">
        <f ca="1">IF(OR(L45="NA",NOT(ISNUMBER(L45))),"NA",IF(L45&lt;$M$2,"Expired",IF(L45&lt;$M$3,"Warning","On time")))</f>
        <v>On time</v>
      </c>
      <c r="N45" s="50" t="s">
        <v>49</v>
      </c>
      <c r="O45" s="50" t="s">
        <v>49</v>
      </c>
      <c r="P45" s="35" t="str">
        <f ca="1">IF(OR(ISNUMBER(O45)=FALSE,ISNUMBER($Q$1)=FALSE), "NA",O45-$Q$1)</f>
        <v>NA</v>
      </c>
      <c r="Q45" s="31" t="str">
        <f ca="1">IF(OR(P45="NA",NOT(ISNUMBER(P45))),"NA",IF(P45&lt;$Q$2,"Expired",IF(P45&lt;$Q$3,"Warning","On time")))</f>
        <v>NA</v>
      </c>
    </row>
    <row r="46" ht="15.75" customHeight="1">
      <c r="A46" s="24">
        <v>41</v>
      </c>
      <c r="B46" s="24" t="s">
        <v>174</v>
      </c>
      <c r="C46" s="25" t="s">
        <v>175</v>
      </c>
      <c r="D46" s="24" t="s">
        <v>33</v>
      </c>
      <c r="E46" s="56" t="s">
        <v>95</v>
      </c>
      <c r="F46" s="27" t="s">
        <v>176</v>
      </c>
      <c r="G46" s="66">
        <v>30884</v>
      </c>
      <c r="H46" s="57">
        <v>46527</v>
      </c>
      <c r="I46" s="30">
        <f ca="1">H46-$I$1</f>
        <v>388</v>
      </c>
      <c r="J46" s="24" t="str">
        <f ca="1">IF(I46&lt;$I$2,"Expired",IF(I46&lt;=$I$3,"Warning","on time"))</f>
        <v>on time</v>
      </c>
      <c r="K46" s="49">
        <v>46267</v>
      </c>
      <c r="L46" s="24">
        <f ca="1">IF(OR(ISNUMBER(K46)=FALSE, ISNUMBER($M$1)=FALSE), "NA",K46-$M$1)</f>
        <v>128</v>
      </c>
      <c r="M46" s="20" t="str">
        <f ca="1">IF(OR(L46="NA",NOT(ISNUMBER(L46))),"NA",IF(L46&lt;$M$2,"Expired",IF(L46&lt;$M$3,"Warning","On time")))</f>
        <v>On time</v>
      </c>
      <c r="N46" s="50" t="s">
        <v>49</v>
      </c>
      <c r="O46" s="50" t="s">
        <v>49</v>
      </c>
      <c r="P46" s="35" t="str">
        <f ca="1">IF(OR(ISNUMBER(O46)=FALSE,ISNUMBER($Q$1)=FALSE), "NA",O46-$Q$1)</f>
        <v>NA</v>
      </c>
      <c r="Q46" s="31" t="str">
        <f ca="1">IF(OR(P46="NA",NOT(ISNUMBER(P46))),"NA",IF(P46&lt;$Q$2,"Expired",IF(P46&lt;$Q$3,"Warning","On time")))</f>
        <v>NA</v>
      </c>
    </row>
    <row r="47" ht="15.75" customHeight="1">
      <c r="A47" s="24">
        <v>42</v>
      </c>
      <c r="B47" s="24" t="s">
        <v>177</v>
      </c>
      <c r="C47" s="25" t="s">
        <v>178</v>
      </c>
      <c r="D47" s="24" t="s">
        <v>58</v>
      </c>
      <c r="E47" s="56" t="s">
        <v>95</v>
      </c>
      <c r="F47" s="27" t="s">
        <v>179</v>
      </c>
      <c r="G47" s="66">
        <v>35777</v>
      </c>
      <c r="H47" s="57">
        <v>46581</v>
      </c>
      <c r="I47" s="30">
        <f ca="1">H47-$I$1</f>
        <v>442</v>
      </c>
      <c r="J47" s="24" t="str">
        <f ca="1">IF(I47&lt;$I$2,"Expired",IF(I47&lt;=$I$3,"Warning","on time"))</f>
        <v>on time</v>
      </c>
      <c r="K47" s="82" t="s">
        <v>48</v>
      </c>
      <c r="L47" s="24" t="str">
        <f ca="1">IF(OR(ISNUMBER(K47)=FALSE, ISNUMBER($M$1)=FALSE), "NA",K47-$M$1)</f>
        <v>NA</v>
      </c>
      <c r="M47" s="20" t="str">
        <f ca="1">IF(OR(L47="NA",NOT(ISNUMBER(L47))),"NA",IF(L47&lt;$M$2,"Expired",IF(L47&lt;$M$3,"Warning","On time")))</f>
        <v>NA</v>
      </c>
      <c r="N47" s="50" t="s">
        <v>49</v>
      </c>
      <c r="O47" s="50" t="s">
        <v>49</v>
      </c>
      <c r="P47" s="35" t="str">
        <f ca="1">IF(OR(ISNUMBER(O47)=FALSE,ISNUMBER($Q$1)=FALSE), "NA",O47-$Q$1)</f>
        <v>NA</v>
      </c>
      <c r="Q47" s="31" t="str">
        <f ca="1">IF(OR(P47="NA",NOT(ISNUMBER(P47))),"NA",IF(P47&lt;$Q$2,"Expired",IF(P47&lt;$Q$3,"Warning","On time")))</f>
        <v>NA</v>
      </c>
    </row>
    <row r="48" ht="15.75" customHeight="1">
      <c r="A48" s="24">
        <v>43</v>
      </c>
      <c r="B48" s="24" t="s">
        <v>180</v>
      </c>
      <c r="C48" s="25" t="s">
        <v>181</v>
      </c>
      <c r="D48" s="24" t="s">
        <v>33</v>
      </c>
      <c r="E48" s="56" t="s">
        <v>95</v>
      </c>
      <c r="F48" s="27" t="s">
        <v>182</v>
      </c>
      <c r="G48" s="66">
        <v>35160</v>
      </c>
      <c r="H48" s="57">
        <v>46398</v>
      </c>
      <c r="I48" s="30">
        <f ca="1">H48-$I$1</f>
        <v>259</v>
      </c>
      <c r="J48" s="24" t="str">
        <f ca="1">IF(I48&lt;$I$2,"Expired",IF(I48&lt;=$I$3,"Warning","on time"))</f>
        <v>on time</v>
      </c>
      <c r="K48" s="49">
        <v>46398</v>
      </c>
      <c r="L48" s="24">
        <f ca="1">IF(OR(ISNUMBER(K48)=FALSE, ISNUMBER($M$1)=FALSE), "NA",K48-$M$1)</f>
        <v>259</v>
      </c>
      <c r="M48" s="20" t="str">
        <f ca="1">IF(OR(L48="NA",NOT(ISNUMBER(L48))),"NA",IF(L48&lt;$M$2,"Expired",IF(L48&lt;$M$3,"Warning","On time")))</f>
        <v>On time</v>
      </c>
      <c r="N48" s="50" t="s">
        <v>49</v>
      </c>
      <c r="O48" s="50" t="s">
        <v>49</v>
      </c>
      <c r="P48" s="35" t="str">
        <f ca="1">IF(OR(ISNUMBER(O48)=FALSE,ISNUMBER($Q$1)=FALSE), "NA",O48-$Q$1)</f>
        <v>NA</v>
      </c>
      <c r="Q48" s="31" t="str">
        <f ca="1">IF(OR(P48="NA",NOT(ISNUMBER(P48))),"NA",IF(P48&lt;$Q$2,"Expired",IF(P48&lt;$Q$3,"Warning","On time")))</f>
        <v>NA</v>
      </c>
    </row>
    <row r="49" ht="15.75" customHeight="1">
      <c r="A49" s="67">
        <v>44</v>
      </c>
      <c r="B49" s="67" t="s">
        <v>183</v>
      </c>
      <c r="C49" s="67" t="s">
        <v>184</v>
      </c>
      <c r="D49" s="67" t="s">
        <v>58</v>
      </c>
      <c r="E49" s="68" t="s">
        <v>95</v>
      </c>
      <c r="F49" s="69" t="s">
        <v>185</v>
      </c>
      <c r="G49" s="83">
        <v>35099</v>
      </c>
      <c r="H49" s="74">
        <v>46536</v>
      </c>
      <c r="I49" s="72">
        <f ca="1">H49-$I$1</f>
        <v>397</v>
      </c>
      <c r="J49" s="67" t="str">
        <f ca="1">IF(I49&lt;$I$2,"Expired",IF(I49&lt;=$I$3,"Warning","on time"))</f>
        <v>on time</v>
      </c>
      <c r="K49" s="84">
        <v>46536</v>
      </c>
      <c r="L49" s="67">
        <f ca="1">IF(OR(ISNUMBER(K49)=FALSE, ISNUMBER($M$1)=FALSE), "NA",K49-$M$1)</f>
        <v>397</v>
      </c>
      <c r="M49" s="75" t="str">
        <f ca="1">IF(OR(L49="NA",NOT(ISNUMBER(L49))),"NA",IF(L49&lt;$M$2,"Expired",IF(L49&lt;$M$3,"Warning","On time")))</f>
        <v>On time</v>
      </c>
      <c r="N49" s="76" t="s">
        <v>49</v>
      </c>
      <c r="O49" s="76" t="s">
        <v>49</v>
      </c>
      <c r="P49" s="77" t="str">
        <f ca="1">IF(OR(ISNUMBER(O49)=FALSE,ISNUMBER($Q$1)=FALSE), "NA",O49-$Q$1)</f>
        <v>NA</v>
      </c>
      <c r="Q49" s="73" t="str">
        <f ca="1">IF(OR(P49="NA",NOT(ISNUMBER(P49))),"NA",IF(P49&lt;$Q$2,"Expired",IF(P49&lt;$Q$3,"Warning","On time")))</f>
        <v>NA</v>
      </c>
    </row>
    <row r="50" ht="15.75" customHeight="1">
      <c r="A50" s="24">
        <v>45</v>
      </c>
      <c r="B50" s="24" t="s">
        <v>186</v>
      </c>
      <c r="C50" s="25" t="s">
        <v>187</v>
      </c>
      <c r="D50" s="24" t="s">
        <v>58</v>
      </c>
      <c r="E50" s="56" t="s">
        <v>95</v>
      </c>
      <c r="F50" s="27" t="s">
        <v>188</v>
      </c>
      <c r="G50" s="66">
        <v>31958</v>
      </c>
      <c r="H50" s="57">
        <v>46192</v>
      </c>
      <c r="I50" s="30">
        <f ca="1">H50-$I$1</f>
        <v>53</v>
      </c>
      <c r="J50" s="24" t="str">
        <f ca="1">IF(I50&lt;$I$2,"Expired",IF(I50&lt;=$I$3,"Warning","on time"))</f>
        <v>on time</v>
      </c>
      <c r="K50" s="55" t="s">
        <v>48</v>
      </c>
      <c r="L50" s="24" t="str">
        <f ca="1">IF(OR(ISNUMBER(K50)=FALSE, ISNUMBER($M$1)=FALSE), "NA",K50-$M$1)</f>
        <v>NA</v>
      </c>
      <c r="M50" s="20" t="str">
        <f ca="1">IF(OR(L50="NA",NOT(ISNUMBER(L50))),"NA",IF(L50&lt;$M$2,"Expired",IF(L50&lt;$M$3,"Warning","On time")))</f>
        <v>NA</v>
      </c>
      <c r="N50" s="50" t="s">
        <v>49</v>
      </c>
      <c r="O50" s="50" t="s">
        <v>49</v>
      </c>
      <c r="P50" s="35" t="str">
        <f ca="1">IF(OR(ISNUMBER(O50)=FALSE,ISNUMBER($Q$1)=FALSE), "NA",O50-$Q$1)</f>
        <v>NA</v>
      </c>
      <c r="Q50" s="31" t="str">
        <f ca="1">IF(OR(P50="NA",NOT(ISNUMBER(P50))),"NA",IF(P50&lt;$Q$2,"Expired",IF(P50&lt;$Q$3,"Warning","On time")))</f>
        <v>NA</v>
      </c>
    </row>
    <row r="51" ht="15.75" customHeight="1">
      <c r="A51" s="24">
        <v>46</v>
      </c>
      <c r="B51" s="24" t="s">
        <v>147</v>
      </c>
      <c r="C51" s="25" t="s">
        <v>148</v>
      </c>
      <c r="D51" s="24" t="s">
        <v>33</v>
      </c>
      <c r="E51" s="56" t="s">
        <v>95</v>
      </c>
      <c r="F51" s="27" t="s">
        <v>189</v>
      </c>
      <c r="G51" s="66">
        <v>37787</v>
      </c>
      <c r="H51" s="57">
        <v>46231</v>
      </c>
      <c r="I51" s="30">
        <f ca="1">H51-$I$1</f>
        <v>92</v>
      </c>
      <c r="J51" s="24" t="str">
        <f ca="1">IF(I51&lt;$I$2,"Expired",IF(I51&lt;=$I$3,"Warning","on time"))</f>
        <v>on time</v>
      </c>
      <c r="K51" s="49">
        <v>46481</v>
      </c>
      <c r="L51" s="24">
        <f ca="1">IF(OR(ISNUMBER(K51)=FALSE, ISNUMBER($M$1)=FALSE), "NA",K51-$M$1)</f>
        <v>342</v>
      </c>
      <c r="M51" s="20" t="str">
        <f ca="1">IF(OR(L51="NA",NOT(ISNUMBER(L51))),"NA",IF(L51&lt;$M$2,"Expired",IF(L51&lt;$M$3,"Warning","On time")))</f>
        <v>On time</v>
      </c>
      <c r="N51" s="50" t="s">
        <v>49</v>
      </c>
      <c r="O51" s="50" t="s">
        <v>49</v>
      </c>
      <c r="P51" s="35" t="str">
        <f ca="1">IF(OR(ISNUMBER(O51)=FALSE,ISNUMBER($Q$1)=FALSE), "NA",O51-$Q$1)</f>
        <v>NA</v>
      </c>
      <c r="Q51" s="31" t="str">
        <f ca="1">IF(OR(P51="NA",NOT(ISNUMBER(P51))),"NA",IF(P51&lt;$Q$2,"Expired",IF(P51&lt;$Q$3,"Warning","On time")))</f>
        <v>NA</v>
      </c>
    </row>
    <row r="52" ht="15.75" customHeight="1">
      <c r="A52" s="24">
        <v>47</v>
      </c>
      <c r="B52" s="24" t="s">
        <v>190</v>
      </c>
      <c r="C52" s="25" t="s">
        <v>191</v>
      </c>
      <c r="D52" s="24" t="s">
        <v>58</v>
      </c>
      <c r="E52" s="56" t="s">
        <v>95</v>
      </c>
      <c r="F52" s="27" t="s">
        <v>192</v>
      </c>
      <c r="G52" s="66">
        <v>31988</v>
      </c>
      <c r="H52" s="57">
        <v>46633</v>
      </c>
      <c r="I52" s="30">
        <f ca="1">H52-$I$1</f>
        <v>494</v>
      </c>
      <c r="J52" s="24" t="str">
        <f ca="1">IF(I52&lt;$I$2,"Expired",IF(I52&lt;=$I$3,"Warning","on time"))</f>
        <v>on time</v>
      </c>
      <c r="K52" s="80">
        <v>47381</v>
      </c>
      <c r="L52" s="24">
        <f ca="1">IF(OR(ISNUMBER(K52)=FALSE, ISNUMBER($M$1)=FALSE), "NA",K52-$M$1)</f>
        <v>1242</v>
      </c>
      <c r="M52" s="20" t="str">
        <f ca="1">IF(OR(L52="NA",NOT(ISNUMBER(L52))),"NA",IF(L52&lt;$M$2,"Expired",IF(L52&lt;$M$3,"Warning","On time")))</f>
        <v>On time</v>
      </c>
      <c r="N52" s="50" t="s">
        <v>49</v>
      </c>
      <c r="O52" s="50" t="s">
        <v>49</v>
      </c>
      <c r="P52" s="35" t="str">
        <f ca="1">IF(OR(ISNUMBER(O52)=FALSE,ISNUMBER($Q$1)=FALSE), "NA",O52-$Q$1)</f>
        <v>NA</v>
      </c>
      <c r="Q52" s="31" t="str">
        <f ca="1">IF(OR(P52="NA",NOT(ISNUMBER(P52))),"NA",IF(P52&lt;$Q$2,"Expired",IF(P52&lt;$Q$3,"Warning","On time")))</f>
        <v>NA</v>
      </c>
    </row>
    <row r="53" ht="15.75" customHeight="1">
      <c r="A53" s="24">
        <v>48</v>
      </c>
      <c r="B53" s="24" t="s">
        <v>193</v>
      </c>
      <c r="C53" s="25" t="s">
        <v>42</v>
      </c>
      <c r="D53" s="24" t="s">
        <v>33</v>
      </c>
      <c r="E53" s="56" t="s">
        <v>95</v>
      </c>
      <c r="F53" s="27" t="s">
        <v>41</v>
      </c>
      <c r="G53" s="66">
        <v>32837</v>
      </c>
      <c r="H53" s="57">
        <v>46492</v>
      </c>
      <c r="I53" s="30">
        <f ca="1">H53-$I$1</f>
        <v>353</v>
      </c>
      <c r="J53" s="24" t="str">
        <f ca="1">IF(I53&lt;$I$2,"Expired",IF(I53&lt;=$I$3,"Warning","on time"))</f>
        <v>on time</v>
      </c>
      <c r="K53" s="80">
        <v>47440</v>
      </c>
      <c r="L53" s="24">
        <f ca="1">IF(OR(ISNUMBER(K53)=FALSE, ISNUMBER($M$1)=FALSE), "NA",K53-$M$1)</f>
        <v>1301</v>
      </c>
      <c r="M53" s="20" t="str">
        <f ca="1">IF(OR(L53="NA",NOT(ISNUMBER(L53))),"NA",IF(L53&lt;$M$2,"Expired",IF(L53&lt;$M$3,"Warning","On time")))</f>
        <v>On time</v>
      </c>
      <c r="N53" s="50" t="s">
        <v>49</v>
      </c>
      <c r="O53" s="50" t="s">
        <v>49</v>
      </c>
      <c r="P53" s="35" t="str">
        <f ca="1">IF(OR(ISNUMBER(O53)=FALSE,ISNUMBER($Q$1)=FALSE), "NA",O53-$Q$1)</f>
        <v>NA</v>
      </c>
      <c r="Q53" s="31" t="str">
        <f ca="1">IF(OR(P53="NA",NOT(ISNUMBER(P53))),"NA",IF(P53&lt;$Q$2,"Expired",IF(P53&lt;$Q$3,"Warning","On time")))</f>
        <v>NA</v>
      </c>
    </row>
    <row r="54" ht="15.75" customHeight="1">
      <c r="A54" s="24">
        <v>49</v>
      </c>
      <c r="B54" s="24" t="s">
        <v>194</v>
      </c>
      <c r="C54" s="25" t="s">
        <v>39</v>
      </c>
      <c r="D54" s="24" t="s">
        <v>33</v>
      </c>
      <c r="E54" s="56" t="s">
        <v>95</v>
      </c>
      <c r="F54" s="27" t="s">
        <v>38</v>
      </c>
      <c r="G54" s="66">
        <v>36267</v>
      </c>
      <c r="H54" s="60">
        <v>46667</v>
      </c>
      <c r="I54" s="30">
        <f ca="1">H54-$I$1</f>
        <v>528</v>
      </c>
      <c r="J54" s="24" t="str">
        <f ca="1">IF(I54&lt;$I$2,"Expired",IF(I54&lt;=$I$3,"Warning","on time"))</f>
        <v>on time</v>
      </c>
      <c r="K54" s="58">
        <v>46667</v>
      </c>
      <c r="L54" s="24">
        <f ca="1">IF(OR(ISNUMBER(K54)=FALSE, ISNUMBER($M$1)=FALSE), "NA",K54-$M$1)</f>
        <v>528</v>
      </c>
      <c r="M54" s="20" t="str">
        <f ca="1">IF(OR(L54="NA",NOT(ISNUMBER(L54))),"NA",IF(L54&lt;$M$2,"Expired",IF(L54&lt;$M$3,"Warning","On time")))</f>
        <v>On time</v>
      </c>
      <c r="N54" s="50" t="s">
        <v>49</v>
      </c>
      <c r="O54" s="50" t="s">
        <v>49</v>
      </c>
      <c r="P54" s="35" t="str">
        <f ca="1">IF(OR(ISNUMBER(O54)=FALSE,ISNUMBER($Q$1)=FALSE), "NA",O54-$Q$1)</f>
        <v>NA</v>
      </c>
      <c r="Q54" s="31" t="str">
        <f ca="1">IF(OR(P54="NA",NOT(ISNUMBER(P54))),"NA",IF(P54&lt;$Q$2,"Expired",IF(P54&lt;$Q$3,"Warning","On time")))</f>
        <v>NA</v>
      </c>
    </row>
    <row r="55" s="2" customFormat="1" ht="15.75" customHeight="1">
      <c r="A55" s="85">
        <v>50</v>
      </c>
      <c r="B55" s="85" t="s">
        <v>195</v>
      </c>
      <c r="C55" s="85" t="s">
        <v>196</v>
      </c>
      <c r="D55" s="85" t="s">
        <v>58</v>
      </c>
      <c r="E55" s="86" t="s">
        <v>95</v>
      </c>
      <c r="F55" s="87" t="s">
        <v>197</v>
      </c>
      <c r="G55" s="88">
        <v>30103</v>
      </c>
      <c r="H55" s="89">
        <v>46612</v>
      </c>
      <c r="I55" s="90">
        <f ca="1">H55-$I$1</f>
        <v>473</v>
      </c>
      <c r="J55" s="85" t="str">
        <f ca="1">IF(I55&lt;$I$2,"Expired",IF(I55&lt;=$I$3,"Warning","on time"))</f>
        <v>on time</v>
      </c>
      <c r="K55" s="89"/>
      <c r="L55" s="85"/>
      <c r="M55" s="91"/>
      <c r="N55" s="92"/>
      <c r="O55" s="92"/>
      <c r="P55" s="93"/>
      <c r="Q55" s="94"/>
    </row>
    <row r="56" s="2" customFormat="1" ht="15.75" customHeight="1">
      <c r="A56" s="85">
        <v>51</v>
      </c>
      <c r="B56" s="85" t="s">
        <v>198</v>
      </c>
      <c r="C56" s="85" t="s">
        <v>199</v>
      </c>
      <c r="D56" s="85" t="s">
        <v>58</v>
      </c>
      <c r="E56" s="86" t="s">
        <v>95</v>
      </c>
      <c r="F56" s="87" t="s">
        <v>200</v>
      </c>
      <c r="G56" s="88">
        <v>35961</v>
      </c>
      <c r="H56" s="95">
        <v>46782</v>
      </c>
      <c r="I56" s="90">
        <f ca="1">H56-$I$1</f>
        <v>643</v>
      </c>
      <c r="J56" s="85" t="str">
        <f ca="1">IF(I56&lt;$I$2,"Expired",IF(I56&lt;=$I$3,"Warning","on time"))</f>
        <v>on time</v>
      </c>
      <c r="K56" s="95"/>
      <c r="L56" s="85" t="str">
        <f ca="1">IF(OR(ISNUMBER(K56)=FALSE, ISNUMBER($M$1)=FALSE), "NA",K56-$M$1)</f>
        <v>NA</v>
      </c>
      <c r="M56" s="96" t="str">
        <f ca="1">IF(OR(L56="NA",NOT(ISNUMBER(L56))),"NA",IF(L56&lt;$M$2,"Expired",IF(L56&lt;$M$3,"Warning","On time")))</f>
        <v>NA</v>
      </c>
      <c r="N56" s="85"/>
      <c r="O56" s="85"/>
      <c r="P56" s="93" t="str">
        <f ca="1">IF(OR(ISNUMBER(O56)=FALSE,ISNUMBER($Q$1)=FALSE), "NA",O56-$Q$1)</f>
        <v>NA</v>
      </c>
      <c r="Q56" s="94" t="str">
        <f ca="1">IF(OR(P56="NA",NOT(ISNUMBER(P56))),"NA",IF(P56&lt;$Q$2,"Expired",IF(P56&lt;$Q$3,"Warning","On time")))</f>
        <v>NA</v>
      </c>
    </row>
    <row r="57" s="2" customFormat="1" ht="15.75" customHeight="1">
      <c r="A57" s="85">
        <v>52</v>
      </c>
      <c r="B57" s="85" t="s">
        <v>201</v>
      </c>
      <c r="C57" s="85" t="s">
        <v>202</v>
      </c>
      <c r="D57" s="85" t="s">
        <v>58</v>
      </c>
      <c r="E57" s="86" t="s">
        <v>95</v>
      </c>
      <c r="F57" s="87" t="s">
        <v>203</v>
      </c>
      <c r="G57" s="88">
        <v>32696</v>
      </c>
      <c r="H57" s="95">
        <v>46760</v>
      </c>
      <c r="I57" s="90">
        <f ca="1">H57-$I$1</f>
        <v>621</v>
      </c>
      <c r="J57" s="85" t="str">
        <f ca="1">IF(I57&lt;$I$2,"Expired",IF(I57&lt;=$I$3,"Warning","on time"))</f>
        <v>on time</v>
      </c>
      <c r="K57" s="95"/>
      <c r="L57" s="85" t="str">
        <f ca="1">IF(OR(ISNUMBER(K57)=FALSE, ISNUMBER($M$1)=FALSE), "NA",K57-$M$1)</f>
        <v>NA</v>
      </c>
      <c r="M57" s="91" t="str">
        <f ca="1">IF(OR(L57="NA",NOT(ISNUMBER(L57))),"NA",IF(L57&lt;$M$2,"Expired",IF(L57&lt;$M$3,"Warning","On time")))</f>
        <v>NA</v>
      </c>
      <c r="N57" s="85"/>
      <c r="O57" s="85"/>
      <c r="P57" s="93" t="str">
        <f ca="1">IF(OR(ISNUMBER(O57)=FALSE,ISNUMBER($Q$1)=FALSE), "NA",O57-$Q$1)</f>
        <v>NA</v>
      </c>
      <c r="Q57" s="94" t="str">
        <f ca="1">IF(OR(P57="NA",NOT(ISNUMBER(P57))),"NA",IF(P57&lt;$Q$2,"Expired",IF(P57&lt;$Q$3,"Warning","On time")))</f>
        <v>NA</v>
      </c>
    </row>
    <row r="58" s="2" customFormat="1" ht="15.75" customHeight="1">
      <c r="A58" s="85">
        <v>53</v>
      </c>
      <c r="B58" s="85" t="s">
        <v>204</v>
      </c>
      <c r="C58" s="85" t="s">
        <v>205</v>
      </c>
      <c r="D58" s="85" t="s">
        <v>58</v>
      </c>
      <c r="E58" s="86" t="s">
        <v>95</v>
      </c>
      <c r="F58" s="87" t="s">
        <v>206</v>
      </c>
      <c r="G58" s="88">
        <v>31812</v>
      </c>
      <c r="H58" s="95">
        <v>46751</v>
      </c>
      <c r="I58" s="90">
        <f ca="1">H58-$I$1</f>
        <v>612</v>
      </c>
      <c r="J58" s="85" t="str">
        <f ca="1">IF(I58&lt;$I$2,"Expired",IF(I58&lt;=$I$3,"Warning","on time"))</f>
        <v>on time</v>
      </c>
      <c r="K58" s="95"/>
      <c r="L58" s="85" t="str">
        <f ca="1">IF(OR(ISNUMBER(K58)=FALSE, ISNUMBER($M$1)=FALSE), "NA",K58-$M$1)</f>
        <v>NA</v>
      </c>
      <c r="M58" s="96" t="str">
        <f ca="1">IF(OR(L58="NA",NOT(ISNUMBER(L58))),"NA",IF(L58&lt;$M$2,"Expired",IF(L58&lt;$M$3,"Warning","On time")))</f>
        <v>NA</v>
      </c>
      <c r="N58" s="85"/>
      <c r="O58" s="85"/>
      <c r="P58" s="93" t="str">
        <f ca="1">IF(OR(ISNUMBER(O58)=FALSE,ISNUMBER($Q$1)=FALSE), "NA",O58-$Q$1)</f>
        <v>NA</v>
      </c>
      <c r="Q58" s="94" t="str">
        <f ca="1">IF(OR(P58="NA",NOT(ISNUMBER(P58))),"NA",IF(P58&lt;$Q$2,"Expired",IF(P58&lt;$Q$3,"Warning","On time")))</f>
        <v>NA</v>
      </c>
    </row>
    <row r="59" s="2" customFormat="1" ht="15.75" customHeight="1">
      <c r="A59" s="97">
        <v>54</v>
      </c>
      <c r="B59" s="97" t="s">
        <v>207</v>
      </c>
      <c r="C59" s="97" t="s">
        <v>208</v>
      </c>
      <c r="D59" s="97" t="s">
        <v>58</v>
      </c>
      <c r="E59" s="86" t="s">
        <v>95</v>
      </c>
      <c r="F59" s="98" t="s">
        <v>209</v>
      </c>
      <c r="G59" s="99">
        <v>30135</v>
      </c>
      <c r="H59" s="100">
        <v>46794</v>
      </c>
      <c r="I59" s="101">
        <f ca="1">H59-$I$1</f>
        <v>655</v>
      </c>
      <c r="J59" s="97" t="str">
        <f ca="1">IF(I59&lt;$I$2,"Expired",IF(I59&lt;=$I$3,"Warning","on time"))</f>
        <v>on time</v>
      </c>
      <c r="K59" s="100"/>
      <c r="L59" s="97" t="str">
        <f ca="1">IF(OR(ISNUMBER(K59)=FALSE, ISNUMBER($M$1)=FALSE), "NA",K59-$M$1)</f>
        <v>NA</v>
      </c>
      <c r="M59" s="96" t="str">
        <f ca="1">IF(OR(L59="NA",NOT(ISNUMBER(L59))),"NA",IF(L59&lt;$M$2,"Expired",IF(L59&lt;$M$3,"Warning","On time")))</f>
        <v>NA</v>
      </c>
      <c r="N59" s="97"/>
      <c r="O59" s="97"/>
      <c r="P59" s="102" t="str">
        <f ca="1">IF(OR(ISNUMBER(O59)=FALSE,ISNUMBER($Q$1)=FALSE), "NA",O59-$Q$1)</f>
        <v>NA</v>
      </c>
      <c r="Q59" s="103" t="str">
        <f ca="1">IF(OR(P59="NA",NOT(ISNUMBER(P59))),"NA",IF(P59&lt;$Q$2,"Expired",IF(P59&lt;$Q$3,"Warning","On time")))</f>
        <v>NA</v>
      </c>
    </row>
    <row r="60">
      <c r="C60" t="s">
        <v>210</v>
      </c>
      <c r="D60" t="s">
        <v>66</v>
      </c>
      <c r="E60" t="s">
        <v>211</v>
      </c>
      <c r="F60" t="s">
        <v>212</v>
      </c>
      <c r="G60" s="104" t="s">
        <v>45</v>
      </c>
      <c r="H60" s="104">
        <v>47067</v>
      </c>
    </row>
    <row r="61">
      <c r="D61" t="s">
        <v>213</v>
      </c>
      <c r="G61" s="104" t="s">
        <v>214</v>
      </c>
      <c r="H61" s="104" t="s">
        <v>45</v>
      </c>
    </row>
    <row r="62">
      <c r="D62" t="s">
        <v>215</v>
      </c>
      <c r="G62" s="104" t="s">
        <v>216</v>
      </c>
      <c r="H62" s="104" t="s">
        <v>45</v>
      </c>
    </row>
  </sheetData>
  <conditionalFormatting sqref="AJ6">
    <cfRule priority="1" dxfId="14" type="containsText" text="Warning">
      <formula>NOT(ISERROR(SEARCH("Warning",AJ6)))</formula>
    </cfRule>
    <cfRule priority="2" dxfId="15" type="containsText" text="Expired">
      <formula>NOT(ISERROR(SEARCH("Expired",AJ6)))</formula>
    </cfRule>
    <cfRule priority="3" dxfId="16" type="containsText" text="on time">
      <formula>NOT(ISERROR(SEARCH("on time",AJ6)))</formula>
    </cfRule>
  </conditionalFormatting>
  <conditionalFormatting sqref="X6:X10">
    <cfRule priority="4" dxfId="14" type="containsText" text="Warning">
      <formula>NOT(ISERROR(SEARCH("Warning",X6)))</formula>
    </cfRule>
    <cfRule priority="5" dxfId="15" type="containsText" text="Expired">
      <formula>NOT(ISERROR(SEARCH("Expired",X6)))</formula>
    </cfRule>
    <cfRule priority="6" dxfId="16" type="containsText" text="on time">
      <formula>NOT(ISERROR(SEARCH("on time",X6)))</formula>
    </cfRule>
  </conditionalFormatting>
  <conditionalFormatting sqref="AB6:AB9">
    <cfRule priority="7" dxfId="15" type="cellIs" operator="lessThan">
      <formula>60</formula>
    </cfRule>
  </conditionalFormatting>
  <conditionalFormatting sqref="AC6:AC9">
    <cfRule priority="8" dxfId="14" type="containsText" text="Warning">
      <formula>NOT(ISERROR(SEARCH("Warning",AC6)))</formula>
    </cfRule>
    <cfRule priority="9" dxfId="15" type="containsText" text="Expired">
      <formula>NOT(ISERROR(SEARCH("Expired",AC6)))</formula>
    </cfRule>
    <cfRule priority="10" dxfId="16" type="containsText" text="on time">
      <formula>NOT(ISERROR(SEARCH("on time",AC6)))</formula>
    </cfRule>
  </conditionalFormatting>
  <conditionalFormatting sqref="Q6:Q59">
    <cfRule priority="11" dxfId="14" type="containsText" text="Warning">
      <formula>NOT(ISERROR(SEARCH("Warning",Q6)))</formula>
    </cfRule>
  </conditionalFormatting>
  <conditionalFormatting sqref="Q5:Q59">
    <cfRule priority="12" dxfId="15" type="containsText" text="Expired">
      <formula>NOT(ISERROR(SEARCH("Expired",Q5)))</formula>
    </cfRule>
    <cfRule priority="13" dxfId="16" type="containsText" text="on time">
      <formula>NOT(ISERROR(SEARCH("on time",Q5)))</formula>
    </cfRule>
  </conditionalFormatting>
  <conditionalFormatting sqref="J6:J59 M6:M59">
    <cfRule priority="14" dxfId="14" type="containsText" text="Warning">
      <formula>NOT(ISERROR(SEARCH("Warning",J6)))</formula>
    </cfRule>
    <cfRule priority="15" dxfId="15" type="containsText" text="Expired">
      <formula>NOT(ISERROR(SEARCH("Expired",J6)))</formula>
    </cfRule>
    <cfRule priority="16" dxfId="16" type="containsText" text="on time">
      <formula>NOT(ISERROR(SEARCH("on time",J6)))</formula>
    </cfRule>
  </conditionalFormatting>
  <conditionalFormatting sqref="P6:P59">
    <cfRule priority="17" dxfId="15" type="cellIs" operator="lessThan">
      <formula>120</formula>
    </cfRule>
  </conditionalFormatting>
  <conditionalFormatting sqref="L6:L59">
    <cfRule priority="18" dxfId="17" type="containsText" text="#VALUE">
      <formula>NOT(ISERROR(SEARCH("#VALUE",L6)))</formula>
    </cfRule>
    <cfRule priority="19" dxfId="15" type="cellIs" operator="lessThan">
      <formula>60</formula>
    </cfRule>
  </conditionalFormatting>
  <conditionalFormatting sqref="I6:I35">
    <cfRule priority="20" dxfId="15" type="cellIs" operator="lessThan">
      <formula>60</formula>
    </cfRule>
  </conditionalFormatting>
  <pageMargins left="0.75" right="0.75" top="1" bottom="1" header="0.5" footer="0.5"/>
  <pageSetup paperSize="9" orientation="landscape" scale="67"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23" sqref="C23"/>
    </sheetView>
  </sheetViews>
  <sheetFormatPr defaultRowHeight="15"/>
  <cols>
    <col min="3" max="3" width="27.28516" bestFit="1" customWidth="1"/>
    <col min="4" max="4" width="12.14063" bestFit="1" customWidth="1"/>
    <col min="5" max="5" width="14" bestFit="1" customWidth="1"/>
    <col min="6" max="6" width="16.42578" customWidth="1"/>
  </cols>
  <sheetData>
    <row r="1">
      <c r="A1" s="105"/>
      <c r="B1" s="106"/>
      <c r="C1" s="106"/>
      <c r="D1" s="106"/>
      <c r="E1" s="107" t="s">
        <v>1</v>
      </c>
      <c r="F1" s="108">
        <f ca="1">TODAY()</f>
        <v>46139</v>
      </c>
      <c r="G1" s="106"/>
    </row>
    <row r="2">
      <c r="A2" s="105"/>
      <c r="B2" s="106"/>
      <c r="C2" s="106"/>
      <c r="D2" s="106"/>
      <c r="E2" s="109" t="s">
        <v>3</v>
      </c>
      <c r="F2" s="110">
        <v>30</v>
      </c>
      <c r="G2" s="106"/>
    </row>
    <row r="3" thickBot="1" ht="15.75" customHeight="1">
      <c r="A3" s="105"/>
      <c r="B3" s="106"/>
      <c r="C3" s="106" t="s">
        <v>217</v>
      </c>
      <c r="D3" s="106"/>
      <c r="E3" s="111" t="s">
        <v>7</v>
      </c>
      <c r="F3" s="112">
        <v>120</v>
      </c>
      <c r="G3" s="106"/>
    </row>
    <row r="4">
      <c r="A4" s="105"/>
      <c r="B4" s="106"/>
      <c r="C4" s="106"/>
      <c r="D4" s="106"/>
      <c r="E4" s="106"/>
      <c r="F4" s="106"/>
      <c r="G4" s="106"/>
    </row>
    <row r="5">
      <c r="A5" s="105"/>
      <c r="B5" s="113" t="s">
        <v>29</v>
      </c>
      <c r="C5" s="114" t="s">
        <v>218</v>
      </c>
      <c r="D5" s="114" t="s">
        <v>26</v>
      </c>
      <c r="E5" s="114" t="s">
        <v>219</v>
      </c>
      <c r="F5" s="114" t="s">
        <v>220</v>
      </c>
      <c r="G5" s="114" t="s">
        <v>17</v>
      </c>
    </row>
    <row r="6">
      <c r="A6" s="105"/>
      <c r="B6" s="115">
        <v>1</v>
      </c>
      <c r="C6" s="116" t="s">
        <v>47</v>
      </c>
      <c r="D6" s="116" t="s">
        <v>44</v>
      </c>
      <c r="E6" s="117" t="s">
        <v>48</v>
      </c>
      <c r="F6" s="118" t="str">
        <f ca="1">IF(E6=$F$1,"NA","NA")</f>
        <v>NA</v>
      </c>
      <c r="G6" s="118" t="str">
        <f ca="1">IF(F6=$F$1,"NA","NA")</f>
        <v>NA</v>
      </c>
    </row>
    <row r="7">
      <c r="A7" s="105"/>
      <c r="B7" s="115">
        <v>2</v>
      </c>
      <c r="C7" s="116" t="s">
        <v>54</v>
      </c>
      <c r="D7" s="116" t="s">
        <v>52</v>
      </c>
      <c r="E7" s="117" t="s">
        <v>48</v>
      </c>
      <c r="F7" s="118" t="str">
        <f ca="1">IF(E7=$F$1,"NA","NA")</f>
        <v>NA</v>
      </c>
      <c r="G7" s="118" t="str">
        <f ca="1">IF(F7=$F$1,"NA","NA")</f>
        <v>NA</v>
      </c>
    </row>
    <row r="8">
      <c r="A8" s="105"/>
      <c r="B8" s="115">
        <v>3</v>
      </c>
      <c r="C8" s="116" t="s">
        <v>118</v>
      </c>
      <c r="D8" s="116" t="s">
        <v>117</v>
      </c>
      <c r="E8" s="117" t="s">
        <v>48</v>
      </c>
      <c r="F8" s="118" t="str">
        <f ca="1">IF(E8=$F$1,"NA","NA")</f>
        <v>NA</v>
      </c>
      <c r="G8" s="118" t="str">
        <f ca="1">IF(F8=$F$1,"NA","NA")</f>
        <v>NA</v>
      </c>
    </row>
    <row r="9">
      <c r="A9" s="105"/>
      <c r="B9" s="115">
        <v>4</v>
      </c>
      <c r="C9" s="116" t="s">
        <v>104</v>
      </c>
      <c r="D9" s="116" t="s">
        <v>103</v>
      </c>
      <c r="E9" s="117" t="s">
        <v>48</v>
      </c>
      <c r="F9" s="118" t="str">
        <f ca="1">IF(E9=$F$1,"NA","NA")</f>
        <v>NA</v>
      </c>
      <c r="G9" s="118" t="str">
        <f ca="1">IF(F9=$F$1,"NA","NA")</f>
        <v>NA</v>
      </c>
    </row>
    <row r="10">
      <c r="A10" s="105"/>
      <c r="B10" s="115">
        <v>5</v>
      </c>
      <c r="C10" s="116" t="s">
        <v>188</v>
      </c>
      <c r="D10" s="116" t="s">
        <v>187</v>
      </c>
      <c r="E10" s="117" t="s">
        <v>48</v>
      </c>
      <c r="F10" s="118" t="str">
        <f ca="1">IF(E10=$F$1,"NA","NA")</f>
        <v>NA</v>
      </c>
      <c r="G10" s="118" t="str">
        <f ca="1">IF(F10=$F$1,"NA","NA")</f>
        <v>NA</v>
      </c>
    </row>
    <row r="11">
      <c r="A11" s="105"/>
      <c r="B11" s="106"/>
      <c r="C11" s="106"/>
      <c r="D11" s="106"/>
      <c r="E11" s="106"/>
      <c r="F11" s="106"/>
      <c r="G11" s="106"/>
    </row>
    <row r="12">
      <c r="A12" s="105"/>
      <c r="B12" s="106"/>
      <c r="C12" s="106"/>
      <c r="D12" s="106"/>
      <c r="E12" s="106"/>
      <c r="F12" s="106"/>
      <c r="G12" s="106"/>
    </row>
    <row r="13">
      <c r="A13" s="105"/>
      <c r="B13" s="106"/>
      <c r="C13" s="106"/>
      <c r="D13" s="106"/>
      <c r="E13" s="106"/>
      <c r="F13" s="106"/>
      <c r="G13" s="106"/>
    </row>
    <row r="14">
      <c r="A14" s="105"/>
      <c r="B14" s="106"/>
      <c r="C14" s="106"/>
      <c r="D14" s="106"/>
      <c r="E14" s="106"/>
      <c r="F14" s="106"/>
      <c r="G14" s="106"/>
    </row>
    <row r="15">
      <c r="A15" s="105"/>
      <c r="B15" s="106"/>
      <c r="C15" s="106"/>
      <c r="D15" s="106"/>
      <c r="E15" s="106"/>
      <c r="F15" s="106"/>
      <c r="G15" s="106"/>
    </row>
    <row r="16">
      <c r="A16" s="105"/>
      <c r="B16" s="106"/>
      <c r="C16" s="106"/>
      <c r="D16" s="106"/>
      <c r="E16" s="106"/>
      <c r="F16" s="106"/>
      <c r="G16" s="106"/>
    </row>
    <row r="17">
      <c r="A17" s="105"/>
      <c r="B17" s="106"/>
      <c r="C17" s="106"/>
      <c r="D17" s="106"/>
      <c r="E17" s="106"/>
      <c r="F17" s="106"/>
      <c r="G17" s="106"/>
    </row>
    <row r="18">
      <c r="A18" s="105"/>
      <c r="B18" s="106"/>
      <c r="C18" s="106"/>
      <c r="D18" s="106"/>
      <c r="E18" s="106"/>
      <c r="F18" s="106"/>
      <c r="G18" s="106"/>
    </row>
    <row r="19">
      <c r="A19" s="105"/>
      <c r="B19" s="106"/>
      <c r="C19" s="106"/>
      <c r="D19" s="106"/>
      <c r="E19" s="106"/>
      <c r="F19" s="106"/>
      <c r="G19" s="106"/>
    </row>
    <row r="20">
      <c r="A20" s="105"/>
      <c r="B20" s="106"/>
      <c r="C20" s="106"/>
      <c r="D20" s="106"/>
      <c r="E20" s="119"/>
      <c r="F20" s="106"/>
      <c r="G20" s="106"/>
    </row>
    <row r="21">
      <c r="A21" s="105"/>
      <c r="B21" s="106"/>
      <c r="C21" s="106"/>
      <c r="D21" s="106"/>
      <c r="E21" s="106"/>
      <c r="F21" s="106"/>
      <c r="G21" s="106"/>
    </row>
    <row r="22">
      <c r="A22" s="105"/>
      <c r="B22" s="106"/>
      <c r="C22" s="106"/>
      <c r="D22" s="106"/>
      <c r="E22" s="106"/>
      <c r="F22" s="106"/>
      <c r="G22" s="106"/>
    </row>
    <row r="23">
      <c r="A23" s="105"/>
      <c r="B23" s="106"/>
      <c r="C23" s="106"/>
      <c r="D23" s="106"/>
      <c r="E23" s="106"/>
      <c r="F23" s="106"/>
      <c r="G23" s="106"/>
    </row>
    <row r="24">
      <c r="A24" s="105"/>
      <c r="B24" s="106"/>
      <c r="C24" s="106"/>
      <c r="D24" s="106"/>
      <c r="E24" s="106"/>
      <c r="F24" s="106"/>
      <c r="G24" s="106"/>
    </row>
    <row r="25">
      <c r="A25" s="105"/>
      <c r="B25" s="106"/>
      <c r="C25" s="106"/>
      <c r="D25" s="106"/>
      <c r="E25" s="106"/>
      <c r="F25" s="106"/>
      <c r="G25" s="106"/>
    </row>
    <row r="26">
      <c r="A26" s="105"/>
      <c r="B26" s="106"/>
      <c r="C26" s="106"/>
      <c r="D26" s="106"/>
      <c r="E26" s="106"/>
      <c r="F26" s="106"/>
      <c r="G26" s="106"/>
    </row>
    <row r="27">
      <c r="A27" s="105"/>
      <c r="B27" s="106"/>
      <c r="C27" s="106"/>
      <c r="D27" s="106"/>
      <c r="E27" s="106"/>
      <c r="F27" s="106"/>
      <c r="G27" s="106"/>
    </row>
    <row r="28">
      <c r="A28" s="105"/>
      <c r="B28" s="106"/>
      <c r="C28" s="106"/>
      <c r="D28" s="106"/>
      <c r="E28" s="106"/>
      <c r="F28" s="106"/>
      <c r="G28" s="106"/>
    </row>
    <row r="29">
      <c r="A29" s="105"/>
      <c r="B29" s="105"/>
      <c r="C29" s="105"/>
      <c r="D29" s="105"/>
      <c r="E29" s="105"/>
      <c r="F29" s="105"/>
      <c r="G29" s="105"/>
    </row>
    <row r="30">
      <c r="A30" s="105"/>
      <c r="B30" s="105"/>
      <c r="C30" s="105"/>
      <c r="D30" s="105"/>
      <c r="E30" s="105"/>
      <c r="F30" s="105"/>
      <c r="G30" s="105"/>
    </row>
    <row r="31">
      <c r="A31" s="105"/>
      <c r="B31" s="105"/>
      <c r="C31" s="105"/>
      <c r="D31" s="105"/>
      <c r="E31" s="105"/>
      <c r="F31" s="105"/>
      <c r="G31" s="10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Lee Lam Chai</cp:lastModifiedBy>
  <cp:lastPrinted>2025-05-19T03:38:51Z</cp:lastPrinted>
  <dcterms:created xsi:type="dcterms:W3CDTF">2025-05-17T15:59:01Z</dcterms:created>
  <dcterms:modified xsi:type="dcterms:W3CDTF">2026-04-27T02:17:39Z</dcterms:modified>
</cp:coreProperties>
</file>